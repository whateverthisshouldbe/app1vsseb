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s mij" sheetId="1" state="visible" r:id="rId3"/>
    <sheet name="60-dagen schema" sheetId="2" state="visible" r:id="rId4"/>
    <sheet name="Dagdetails" sheetId="3" state="visible" r:id="rId5"/>
    <sheet name="Diners" sheetId="4" state="visible" r:id="rId6"/>
    <sheet name="Lunches" sheetId="5" state="visible" r:id="rId7"/>
    <sheet name="Vaste modules" sheetId="6" state="visible" r:id="rId8"/>
    <sheet name="Micronutrienten" sheetId="7" state="visible" r:id="rId9"/>
    <sheet name="Supplementen" sheetId="8" state="visible" r:id="rId10"/>
    <sheet name="Boodschappenlijst"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<sst xmlns="http://schemas.openxmlformats.org/spreadsheetml/2006/main" count="4282" uniqueCount="862">
  <si>
    <t xml:space="preserve">60-DAAGS VOEDINGSSCHEMA - SEB</t>
  </si>
  <si>
    <t xml:space="preserve">1. Doelen per dag</t>
  </si>
  <si>
    <t xml:space="preserve">Energie</t>
  </si>
  <si>
    <t xml:space="preserve">4.050 kcal</t>
  </si>
  <si>
    <t xml:space="preserve">Eiwit</t>
  </si>
  <si>
    <t xml:space="preserve">180 g als ondergrens. In de praktijk landt het schema tussen 180 en 230 g, gemiddeld ~207 g.</t>
  </si>
  <si>
    <t xml:space="preserve">Vet</t>
  </si>
  <si>
    <t xml:space="preserve">Doel 110 g, plafond 115 g. Het schema komt gemiddeld op ~99 g uit.</t>
  </si>
  <si>
    <t xml:space="preserve">Koolhydraten</t>
  </si>
  <si>
    <t xml:space="preserve">Restant, ~580 g per dag.</t>
  </si>
  <si>
    <t xml:space="preserve">Trainingsdagen</t>
  </si>
  <si>
    <t xml:space="preserve">di, wo, do, za, zo. Rustdagen: ma en vr (dan geen pre- en post-workout, wel een groter aanvulblok).</t>
  </si>
  <si>
    <t xml:space="preserve">Startdag</t>
  </si>
  <si>
    <t xml:space="preserve">Dag 1 = maandag. Begin je op een andere dag, verschuif dan de kolom Weekdag; de recepten kun je gewoon op volgorde houden.</t>
  </si>
  <si>
    <t xml:space="preserve">2. Waarom eiwit niet exact op 180 uitkomt</t>
  </si>
  <si>
    <t xml:space="preserve">Je gaf 60 diners en 30 lunches als uitgangspunt, en die zijn van zichzelf vleesrijk. Om precies op 180 g te landen zou ik de vleesporties naar ongeveer 110 g per diner moeten brengen, en dan wordt het een schraal bord. Ik heb de porties met ruim een kwart verkleind ten opzichte van een normale portie en de rest met zetmeel opgevuld. Wat overblijft is 180-230 g. Meer eiwit dan je vroeg is hier geen probleem: het verdringt alleen wat koolhydraten.</t>
  </si>
  <si>
    <t xml:space="preserve">3. Wat ik niet waarmaak</t>
  </si>
  <si>
    <t xml:space="preserve">'Perfecte' micronutrienten</t>
  </si>
  <si>
    <t xml:space="preserve">Dat kan niet en dat beloof ik ook niet. De waarden in dit bestand komen uit standaard voedingsmiddelentabellen. Soort, seizoen, bodem en bereiding laten ze in de praktijk 20-30% varieren, en van bewerkte producten ken ik alleen wat op het etiket staat. Macro's zijn betrouwbaar; micro's zijn een goede schatting, geen meting.</t>
  </si>
  <si>
    <t xml:space="preserve">Wat het wel doet</t>
  </si>
  <si>
    <t xml:space="preserve">Elke dag zit boven de referentie-inname voor alle mineralen, alle B-vitamines, vitamine C, E en K. Op vitamine A blijven 3 van de 60 dagen net onder de 100%; zie het tabblad Micronutrienten voor welke.</t>
  </si>
  <si>
    <t xml:space="preserve">4. Drie dingen die ik tegenkwam</t>
  </si>
  <si>
    <t xml:space="preserve">Vitamine D is het echte gat</t>
  </si>
  <si>
    <t xml:space="preserve">53 van de 60 dagen zit je onder de referentie-inname, gemiddeld op ~34%. Je multi van Bonusan is een MINERALEN-supplement: er zit geen enkele vitamine in. Je slikte eerder los vitamine D en dat is weggevallen. Voeding vult dit gat niet: alleen vette vis, ei en boter leveren noemenswaardig vitamine D, en zelfs op zalmdagen kom je er niet. Advies: 10-25 mcg (400-1000 IE) vitamine D3 per dag, het hele jaar door. Zie tabblad Supplementen.</t>
  </si>
  <si>
    <t xml:space="preserve">3 tabletten Bonusan is meer dan het etiket zegt</t>
  </si>
  <si>
    <t xml:space="preserve">Multi Mineral Forte is gedoseerd op 2 tabletten per dag; op de verpakking staat de aanbevolen dosering niet te overschrijden. Bij 3 tabletten krijg je 15 mg zink en 15 mg ijzer uit de pil. Opgeteld bij dit eetschema, dat dagelijks vlees bevat, kom je op ~32 mg zink per dag. De Europese bovengrens voor langdurig gebruik is 25 mg. Zink boven die grens remt op termijn de koperopname. IJzer komt op ~32 mg tegen een bovengrens van 45 mg; dat is niet acuut, maar ijzer heeft geen uitscheidingsroute, dus het stapelt. In dit schema haal je alle mineralen ruim uit voeding, ook zonder pil. Ik zou terug naar 2 tabletten gaan, of de multi helemaal laten staan en het geld in vitamine D steken.</t>
  </si>
  <si>
    <t xml:space="preserve">D-Bloat werkt tegen je creatine in</t>
  </si>
  <si>
    <t xml:space="preserve">D-Bloat is een milde plaspil: paardenbloem, brandnetel, heermoes, jeneverbes, hibiscus, plus kalium, magnesium en vitamine C. Creatine doet juist het omgekeerde, die trekt water de spiercel in, en dat is precies waar het effect vandaan komt. Op 4.050 kcal met vijf trainingen per week is vasthouden van vocht functioneel, geen probleem. Ik zou D-Bloat bewaren voor losse dagen waarop je er strak uit wilt zien, niet dagelijks nemen naast creatine.</t>
  </si>
  <si>
    <t xml:space="preserve">5. Over de snack voor het slapen</t>
  </si>
  <si>
    <t xml:space="preserve">Wat er klopt</t>
  </si>
  <si>
    <t xml:space="preserve">Een eiwit- en koolhydraatrijke snack voor het slapen is prima onderbouwd voor herstel: langzame eiwitten (caseine) blijven 's nachts aminozuren afgeven. Magere kwark is caseine, dus je Ninja Creami-recepten op kwarkbasis zijn hier precies goed.</t>
  </si>
  <si>
    <t xml:space="preserve">Wat ik niet hard kan maken</t>
  </si>
  <si>
    <t xml:space="preserve">Het idee dat je 's nachts een cortisolpiek krijgt doordat je bloedsuiker zakt, en dat je die met honing of sinaasappelsap voorkomt, is geen vastgesteld mechanisme bij een gezond persoon die 4.000 kcal eet. Bij een normale nachtrust houdt je lever je bloedsuiker prima op peil met glycogeen. De snack is niet verkeerd en kan je slaap best goed doen, maar verwacht er niet meer van dan wat hij is: extra eiwit en calorieen op een handig moment.</t>
  </si>
  <si>
    <t xml:space="preserve">6. Over je pre-workout</t>
  </si>
  <si>
    <t xml:space="preserve">Red Bull + rijstwafels + banaan + honing</t>
  </si>
  <si>
    <t xml:space="preserve">Prima blok: ~80 mg cafeine, ~95 g snelle koolhydraten, weinig vezel en vet, dus geen zware maag. Ik heb het onveranderd overgenomen op alle vijf de trainingsdagen.</t>
  </si>
  <si>
    <t xml:space="preserve">Alternatief als je wilt wisselen</t>
  </si>
  <si>
    <t xml:space="preserve">Zie tabblad Vaste modules, regel PW-alt: rijstwafels met honing en banaan plus koffie en een snufje gejodeerd zout. Zelfde koolhydraten, meer cafeine per euro, en het zout helpt bij een zware sessie. Verder is er niets mis met wat je nu doet.</t>
  </si>
  <si>
    <t xml:space="preserve">7. Hoe je het bestand gebruikt</t>
  </si>
  <si>
    <t xml:space="preserve">60-dagen schema</t>
  </si>
  <si>
    <t xml:space="preserve">Per dag wat je eet en wat de dag oplevert. Dit is je hoofdtabblad.</t>
  </si>
  <si>
    <t xml:space="preserve">Dagdetails</t>
  </si>
  <si>
    <t xml:space="preserve">Dezelfde 60 dagen, maar per maaltijdblok uitgesplitst met de macro's. De dagtotalen zijn SOM-formules over de blokregels.</t>
  </si>
  <si>
    <t xml:space="preserve">Diners / Lunches / Vaste modules</t>
  </si>
  <si>
    <t xml:space="preserve">De recepten met grammen per ingredient. Grammen zijn bereid gewicht, tenzij '(droog)' erbij staat.</t>
  </si>
  <si>
    <t xml:space="preserve">Micronutrienten</t>
  </si>
  <si>
    <t xml:space="preserve">Per dag het percentage van de referentie-inname, inclusief wat je supplementen bijdragen. Rood = onder de 100%.</t>
  </si>
  <si>
    <t xml:space="preserve">Supplementen</t>
  </si>
  <si>
    <t xml:space="preserve">Het vaste dagprotocol plus de dagen waarop er iets extra's bij moet.</t>
  </si>
  <si>
    <t xml:space="preserve">Boodschappenlijst</t>
  </si>
  <si>
    <t xml:space="preserve">Per week opgeteld, week 1 t/m 9.</t>
  </si>
  <si>
    <t xml:space="preserve">8. Een opmerking die je niet vroeg</t>
  </si>
  <si>
    <t xml:space="preserve">4.050 kcal is veel. Of dat de juiste hoeveelheid is hangt af van je gewicht en hoe snel je nu aankomt, en die twee weet ik niet. Vuistregel: weeg jezelf een week lang elke ochtend na het opstaan en middel dat. Kom je harder aan dan ongeveer 0,25-0,5 kg per week, dan gaat het grootste deel van het meerdere als vet mee. Haal er dan 300-400 kcal af door het aanvulblok te verkleinen, dat is de makkelijkste knop in dit schema.</t>
  </si>
  <si>
    <t xml:space="preserve">Dag</t>
  </si>
  <si>
    <t xml:space="preserve">Weekdag</t>
  </si>
  <si>
    <t xml:space="preserve">Training</t>
  </si>
  <si>
    <t xml:space="preserve">Ontbijt</t>
  </si>
  <si>
    <t xml:space="preserve">Pre-workout</t>
  </si>
  <si>
    <t xml:space="preserve">Lunch</t>
  </si>
  <si>
    <t xml:space="preserve">Post-workout</t>
  </si>
  <si>
    <t xml:space="preserve">Diner</t>
  </si>
  <si>
    <t xml:space="preserve">Snack voor bed</t>
  </si>
  <si>
    <t xml:space="preserve">Aanvulblok</t>
  </si>
  <si>
    <t xml:space="preserve">kcal</t>
  </si>
  <si>
    <t xml:space="preserve">Eiwit (g)</t>
  </si>
  <si>
    <t xml:space="preserve">Vet (g)</t>
  </si>
  <si>
    <t xml:space="preserve">KH (g)</t>
  </si>
  <si>
    <t xml:space="preserve">Vezel (g)</t>
  </si>
  <si>
    <t xml:space="preserve">ma</t>
  </si>
  <si>
    <t xml:space="preserve">rust</t>
  </si>
  <si>
    <t xml:space="preserve">Upfront Baked Oats banaan-choco + melk, banaan, pindakaas</t>
  </si>
  <si>
    <t xml:space="preserve">-</t>
  </si>
  <si>
    <t xml:space="preserve">L1 - Kip wrap met kwark-kruidendip</t>
  </si>
  <si>
    <t xml:space="preserve">D1 - Kip teriyaki met rijst en broccoli</t>
  </si>
  <si>
    <t xml:space="preserve">Ninja Creami: kwark-honing-banaan</t>
  </si>
  <si>
    <t xml:space="preserve">witte rijst (gekookt) 485g + sinaasappelsap (vers) 400g + olijfolie 30g</t>
  </si>
  <si>
    <t xml:space="preserve">di</t>
  </si>
  <si>
    <t xml:space="preserve">training</t>
  </si>
  <si>
    <t xml:space="preserve">Upfront Eiwit Oats chocolade + melk, blauwe bessen, honing</t>
  </si>
  <si>
    <t xml:space="preserve">Red Bull + 4 rijstwafels met banaan en honing</t>
  </si>
  <si>
    <t xml:space="preserve">L2 - Tonijnwrap met mais en yoghurtdressing</t>
  </si>
  <si>
    <t xml:space="preserve">Skyr met muesli en banaan</t>
  </si>
  <si>
    <t xml:space="preserve">D2 - Pasta bolognese met gehaktballen</t>
  </si>
  <si>
    <t xml:space="preserve">Ninja Creami: skyr-blauwe bes-honing</t>
  </si>
  <si>
    <t xml:space="preserve">wo</t>
  </si>
  <si>
    <t xml:space="preserve">Upfront Rijstpudding vanille + melk, aardbeien, amandelen</t>
  </si>
  <si>
    <t xml:space="preserve">L3 - Quesadilla met kwarkdip</t>
  </si>
  <si>
    <t xml:space="preserve">Upfront rijstpudding met melk en banaan</t>
  </si>
  <si>
    <t xml:space="preserve">D3 - Runderbiefstuk met zoete aardappelpuree en sperziebonen</t>
  </si>
  <si>
    <t xml:space="preserve">Kwark met honing en walnoten</t>
  </si>
  <si>
    <t xml:space="preserve">witte rijst (gekookt) 75g + sinaasappelsap (vers) 400g + olijfolie 15g</t>
  </si>
  <si>
    <t xml:space="preserve">do</t>
  </si>
  <si>
    <t xml:space="preserve">L4 - Skyr met muesli en fruit</t>
  </si>
  <si>
    <t xml:space="preserve">Whey + witte rijst met honing</t>
  </si>
  <si>
    <t xml:space="preserve">D4 - Kip tikka masala met basmatirijst</t>
  </si>
  <si>
    <t xml:space="preserve">Kwark met sinaasappelsap en honing</t>
  </si>
  <si>
    <t xml:space="preserve">pindakaas (Calve) 45g</t>
  </si>
  <si>
    <t xml:space="preserve">vr</t>
  </si>
  <si>
    <t xml:space="preserve">L5 - Omelet</t>
  </si>
  <si>
    <t xml:space="preserve">D5 - Kipfilet met quinoa en geroosterde paprika</t>
  </si>
  <si>
    <t xml:space="preserve">Rijstwafels met pindakaas en honing + glas melk</t>
  </si>
  <si>
    <t xml:space="preserve">magere kwark 0% 65g + witte rijst (gekookt) 550g + sinaasappelsap (vers) 400g + olijfolie 10g</t>
  </si>
  <si>
    <t xml:space="preserve">za</t>
  </si>
  <si>
    <t xml:space="preserve">L6 - Ei-avocadotoast</t>
  </si>
  <si>
    <t xml:space="preserve">D6 - Runderschnitzel met aardappelpuree en champignons</t>
  </si>
  <si>
    <t xml:space="preserve">Ninja Creami: kwark-dadel-melk</t>
  </si>
  <si>
    <t xml:space="preserve">banaan 295g + pindakaas (Calve) 10g</t>
  </si>
  <si>
    <t xml:space="preserve">zo</t>
  </si>
  <si>
    <t xml:space="preserve">L7 - Eiersalade</t>
  </si>
  <si>
    <t xml:space="preserve">D7 - Kipdrumsticks met couscous en gegrilde groenten</t>
  </si>
  <si>
    <t xml:space="preserve">sinaasappelsap (vers) 345g + olijfolie 10g</t>
  </si>
  <si>
    <t xml:space="preserve">L8 - Zoete aardappel-gehaktbowl met spinazie</t>
  </si>
  <si>
    <t xml:space="preserve">D8 - Runder roerbak met noedels en groenten</t>
  </si>
  <si>
    <t xml:space="preserve">volkorenbrood 260g + banaan 350g + pindakaas (Calve) 50g</t>
  </si>
  <si>
    <t xml:space="preserve">L9 - Prosciutto-meloenbak met mozzarella</t>
  </si>
  <si>
    <t xml:space="preserve">D9 - Fajitas met bonen en guacamole</t>
  </si>
  <si>
    <t xml:space="preserve">witte rijst (gekookt) 115g + sinaasappelsap (vers) 400g + olijfolie 10g</t>
  </si>
  <si>
    <t xml:space="preserve">L10 - Pesto-kippastasalade</t>
  </si>
  <si>
    <t xml:space="preserve">D10 - Kip curry met rijst en groenten</t>
  </si>
  <si>
    <t xml:space="preserve">pindakaas (Calve) 20g</t>
  </si>
  <si>
    <t xml:space="preserve">L11 - Kwarkbowl met muesli en blauwe bessen</t>
  </si>
  <si>
    <t xml:space="preserve">D11 - Hamburgers met aardappelpartjes</t>
  </si>
  <si>
    <t xml:space="preserve">L12 - Volkorenboterhammen met kipfilet en huttenkase</t>
  </si>
  <si>
    <t xml:space="preserve">D12 - Lasagne met salade</t>
  </si>
  <si>
    <t xml:space="preserve">volkorenbrood 260g + banaan 350g + pindakaas (Calve) 5g</t>
  </si>
  <si>
    <t xml:space="preserve">L13 - Couscoussalade met kikkererwten en feta</t>
  </si>
  <si>
    <t xml:space="preserve">D13 - Spiesjes (rund of kip) met tzatziki en naan</t>
  </si>
  <si>
    <t xml:space="preserve">olijfolie 20g</t>
  </si>
  <si>
    <t xml:space="preserve">L14 - Rundergehaktwrap met sla en tomaat</t>
  </si>
  <si>
    <t xml:space="preserve">D14 - Shoarma met pita's</t>
  </si>
  <si>
    <t xml:space="preserve">banaan 210g + pindakaas (Calve) 15g</t>
  </si>
  <si>
    <t xml:space="preserve">L15 - Zalmsalade met parelgort</t>
  </si>
  <si>
    <t xml:space="preserve">D15 - Gehaktballen met rijst en tzatziki</t>
  </si>
  <si>
    <t xml:space="preserve">magere kwark 0% 145g + witte rijst (gekookt) 540g + sinaasappelsap (vers) 360g + olijfolie 20g</t>
  </si>
  <si>
    <t xml:space="preserve">L16 - Skyr met banaan, pindakaas en honing</t>
  </si>
  <si>
    <t xml:space="preserve">D16 - Tonijnsalade met parelgort</t>
  </si>
  <si>
    <t xml:space="preserve">pindakaas (Calve) 50g</t>
  </si>
  <si>
    <t xml:space="preserve">L17 - Griekse salade met feta en pita</t>
  </si>
  <si>
    <t xml:space="preserve">D17 - Garnalenpasta met spinazie</t>
  </si>
  <si>
    <t xml:space="preserve">sinaasappelsap (vers) 60g + olijfolie 5g</t>
  </si>
  <si>
    <t xml:space="preserve">L18 - Restje: chili con carne met rijst</t>
  </si>
  <si>
    <t xml:space="preserve">D18 - Tonijnpokebowl</t>
  </si>
  <si>
    <t xml:space="preserve">L19 - Tonijn-pastasalade met mais</t>
  </si>
  <si>
    <t xml:space="preserve">D19 - Vissticks met groenten en zoete aardappel</t>
  </si>
  <si>
    <t xml:space="preserve">magere kwark 0% 90g + witte rijst (gekookt) 475g + sinaasappelsap (vers) 400g + olijfolie 30g</t>
  </si>
  <si>
    <t xml:space="preserve">L20 - Omeletwrap met spinazie en kaas</t>
  </si>
  <si>
    <t xml:space="preserve">D20 - Gemengde viswok</t>
  </si>
  <si>
    <t xml:space="preserve">banaan 305g + pindakaas (Calve) 5g</t>
  </si>
  <si>
    <t xml:space="preserve">L21 - Kipfilet-quinoasalade met paprika</t>
  </si>
  <si>
    <t xml:space="preserve">D21 - Zalm tagliatelle met groenten</t>
  </si>
  <si>
    <t xml:space="preserve">witte rijst (gekookt) 20g + sinaasappelsap (vers) 400g + olijfolie 20g</t>
  </si>
  <si>
    <t xml:space="preserve">L22 - Broodje gezond met ei en ham</t>
  </si>
  <si>
    <t xml:space="preserve">D22 - Shakshuka met ei</t>
  </si>
  <si>
    <t xml:space="preserve">volkorenbrood 260g + banaan 350g + pindakaas (Calve) 25g</t>
  </si>
  <si>
    <t xml:space="preserve">L23 - Linzensalade met feta en granaatappel</t>
  </si>
  <si>
    <t xml:space="preserve">D23 - Groentesoep met gehaktballen</t>
  </si>
  <si>
    <t xml:space="preserve">sinaasappelsap (vers) 310g</t>
  </si>
  <si>
    <t xml:space="preserve">L24 - Kwark met muesli, appel en amandelen</t>
  </si>
  <si>
    <t xml:space="preserve">D24 - Tomatensoep met tosti kaas</t>
  </si>
  <si>
    <t xml:space="preserve">banaan 80g</t>
  </si>
  <si>
    <t xml:space="preserve">L25 - Restje: kip curry met rijst</t>
  </si>
  <si>
    <t xml:space="preserve">D25 - Griekse feta omelet met spinazie</t>
  </si>
  <si>
    <t xml:space="preserve">sinaasappelsap (vers) 335g + olijfolie 20g</t>
  </si>
  <si>
    <t xml:space="preserve">L26 - Garnalensalade met avocado en quinoa</t>
  </si>
  <si>
    <t xml:space="preserve">D26 - Edamame quinoa salade met kaas</t>
  </si>
  <si>
    <t xml:space="preserve">volkorenbrood 260g + banaan 350g + pindakaas (Calve) 15g</t>
  </si>
  <si>
    <t xml:space="preserve">L27 - Volkorenboterhammen met pindakaas en banaan</t>
  </si>
  <si>
    <t xml:space="preserve">D27 - Zalmfilet met aardappelpuree en asperges</t>
  </si>
  <si>
    <t xml:space="preserve">sinaasappelsap (vers) 390g + olijfolie 10g</t>
  </si>
  <si>
    <t xml:space="preserve">L28 - Restje: pasta bolognese</t>
  </si>
  <si>
    <t xml:space="preserve">D28 - Eendenborst met sinaasappel en roti</t>
  </si>
  <si>
    <t xml:space="preserve">pindakaas (Calve) 5g</t>
  </si>
  <si>
    <t xml:space="preserve">L29 - Bonen-maissalade met kip en avocado</t>
  </si>
  <si>
    <t xml:space="preserve">D29 - Ragout met couscous en abrikozen</t>
  </si>
  <si>
    <t xml:space="preserve">magere kwark 0% 65g + witte rijst (gekookt) 550g + sinaasappelsap (vers) 400g + olijfolie 30g</t>
  </si>
  <si>
    <t xml:space="preserve">L30 - Huttenkase-toast met ei en tomaat</t>
  </si>
  <si>
    <t xml:space="preserve">D30 - Falafel met rijst en granaatappel</t>
  </si>
  <si>
    <t xml:space="preserve">pindakaas (Calve) 40g</t>
  </si>
  <si>
    <t xml:space="preserve">D31 - Pannenkoeken met spek</t>
  </si>
  <si>
    <t xml:space="preserve">olijfolie 25g</t>
  </si>
  <si>
    <t xml:space="preserve">D32 - Kalkoen-/kipfilet met zilvervliesrijst en broccoli</t>
  </si>
  <si>
    <t xml:space="preserve">banaan 105g + pindakaas (Calve) 35g</t>
  </si>
  <si>
    <t xml:space="preserve">D33 - Chili con carne met rijst</t>
  </si>
  <si>
    <t xml:space="preserve">witte rijst (gekookt) 520g + sinaasappelsap (vers) 400g + olijfolie 30g</t>
  </si>
  <si>
    <t xml:space="preserve">D34 - Kip souvlaki met griekse salade en pita</t>
  </si>
  <si>
    <t xml:space="preserve">pindakaas (Calve) 25g</t>
  </si>
  <si>
    <t xml:space="preserve">D35 - Zalmburger met zoete aardappel</t>
  </si>
  <si>
    <t xml:space="preserve">witte rijst (gekookt) 5g + sinaasappelsap (vers) 400g + olijfolie 5g</t>
  </si>
  <si>
    <t xml:space="preserve">D36 - Biefstuk stroganoff met tagliatelle</t>
  </si>
  <si>
    <t xml:space="preserve">volkorenbrood 260g + banaan 350g</t>
  </si>
  <si>
    <t xml:space="preserve">D37 - Kip pesto pasta met cherrytomaat</t>
  </si>
  <si>
    <t xml:space="preserve">sinaasappelsap (vers) 75g + olijfolie 15g</t>
  </si>
  <si>
    <t xml:space="preserve">D38 - Rundersate met rijst en groenten</t>
  </si>
  <si>
    <t xml:space="preserve">banaan 135g + pindakaas (Calve) 20g</t>
  </si>
  <si>
    <t xml:space="preserve">D39 - Kabeljauw met aardappel en spinazie</t>
  </si>
  <si>
    <t xml:space="preserve">witte rijst (gekookt) 145g + sinaasappelsap (vers) 400g + olijfolie 20g</t>
  </si>
  <si>
    <t xml:space="preserve">D40 - Kip shoarma bowl met couscous</t>
  </si>
  <si>
    <t xml:space="preserve">volkorenbrood 260g + banaan 350g + pindakaas (Calve) 30g</t>
  </si>
  <si>
    <t xml:space="preserve">D41 - Gehaktbrood met aardappelpuree en doperwten</t>
  </si>
  <si>
    <t xml:space="preserve">sinaasappelsap (vers) 160g + olijfolie 20g</t>
  </si>
  <si>
    <t xml:space="preserve">D42 - Garnalen roerbak met noedels</t>
  </si>
  <si>
    <t xml:space="preserve">banaan 150g + pindakaas (Calve) 25g</t>
  </si>
  <si>
    <t xml:space="preserve">D43 - Kipfilet met parelgort en champignonsaus</t>
  </si>
  <si>
    <t xml:space="preserve">witte rijst (gekookt) 455g + sinaasappelsap (vers) 400g + olijfolie 30g</t>
  </si>
  <si>
    <t xml:space="preserve">D44 - Runderstoof met aardappel en wortel</t>
  </si>
  <si>
    <t xml:space="preserve">banaan 150g + pindakaas (Calve) 20g</t>
  </si>
  <si>
    <t xml:space="preserve">D45 - Tonijnpasta met tomatensaus</t>
  </si>
  <si>
    <t xml:space="preserve">D46 - Kip fajita bowl met rijst en bonen</t>
  </si>
  <si>
    <t xml:space="preserve">pindakaas (Calve) 30g</t>
  </si>
  <si>
    <t xml:space="preserve">D47 - Zalm poke bowl met edamame</t>
  </si>
  <si>
    <t xml:space="preserve">magere kwark 0% 150g + witte rijst (gekookt) 535g + sinaasappelsap (vers) 345g + olijfolie 10g</t>
  </si>
  <si>
    <t xml:space="preserve">D48 - Biefstukreepjes wrap met groenten</t>
  </si>
  <si>
    <t xml:space="preserve">banaan 85g + pindakaas (Calve) 45g</t>
  </si>
  <si>
    <t xml:space="preserve">D49 - Kip madras met basmatirijst</t>
  </si>
  <si>
    <t xml:space="preserve">olijfolie 30g</t>
  </si>
  <si>
    <t xml:space="preserve">D50 - Vissticks wrap met sla en yoghurtdressing</t>
  </si>
  <si>
    <t xml:space="preserve">skyr (Arla, naturel) 55g + volkorenbrood 260g + banaan 350g + pindakaas (Calve) 40g</t>
  </si>
  <si>
    <t xml:space="preserve">D51 - Kipgehaktballetjes in tomatensaus met pasta</t>
  </si>
  <si>
    <t xml:space="preserve">sinaasappelsap (vers) 40g + olijfolie 20g</t>
  </si>
  <si>
    <t xml:space="preserve">D52 - Runderburger bowl met zoete aardappel</t>
  </si>
  <si>
    <t xml:space="preserve">banaan 115g + pindakaas (Calve) 30g</t>
  </si>
  <si>
    <t xml:space="preserve">D53 - Kabeljauw met couscous en gegrilde paprika</t>
  </si>
  <si>
    <t xml:space="preserve">sinaasappelsap (vers) 275g + olijfolie 20g</t>
  </si>
  <si>
    <t xml:space="preserve">D54 - Kip cordon bleu-stijl met aardappelpartjes</t>
  </si>
  <si>
    <t xml:space="preserve">volkorenbrood 260g + banaan 350g + pindakaas (Calve) 20g</t>
  </si>
  <si>
    <t xml:space="preserve">D55 - Garnalencurry met rijst</t>
  </si>
  <si>
    <t xml:space="preserve">D56 - Moussaka met courgette en gehakt</t>
  </si>
  <si>
    <t xml:space="preserve">banaan 240g + pindakaas (Calve) 15g</t>
  </si>
  <si>
    <t xml:space="preserve">D57 - Kipfilet teriyaki noedels</t>
  </si>
  <si>
    <t xml:space="preserve">witte rijst (gekookt) 500g + sinaasappelsap (vers) 400g + olijfolie 30g</t>
  </si>
  <si>
    <t xml:space="preserve">D58 - Zalm met quinoa en asperges</t>
  </si>
  <si>
    <t xml:space="preserve">D59 - Rundersteak salade met parelgort</t>
  </si>
  <si>
    <t xml:space="preserve">witte rijst (gekookt) 60g + sinaasappelsap (vers) 400g + olijfolie 5g</t>
  </si>
  <si>
    <t xml:space="preserve">D60 - Kip biryani met yoghurt en granaatappel</t>
  </si>
  <si>
    <t xml:space="preserve">banaan 45g + pindakaas (Calve) 25g</t>
  </si>
  <si>
    <t xml:space="preserve">Doel</t>
  </si>
  <si>
    <t xml:space="preserve">Gemiddeld</t>
  </si>
  <si>
    <t xml:space="preserve">Blok</t>
  </si>
  <si>
    <t xml:space="preserve">Wat</t>
  </si>
  <si>
    <t xml:space="preserve">Lunch (L1)</t>
  </si>
  <si>
    <t xml:space="preserve">Kip wrap met kwark-kruidendip</t>
  </si>
  <si>
    <t xml:space="preserve">Diner (D1)</t>
  </si>
  <si>
    <t xml:space="preserve">Kip teriyaki met rijst en broccoli</t>
  </si>
  <si>
    <t xml:space="preserve">TOTAAL</t>
  </si>
  <si>
    <t xml:space="preserve">dag 1</t>
  </si>
  <si>
    <t xml:space="preserve">Lunch (L2)</t>
  </si>
  <si>
    <t xml:space="preserve">Tonijnwrap met mais en yoghurtdressing</t>
  </si>
  <si>
    <t xml:space="preserve">Diner (D2)</t>
  </si>
  <si>
    <t xml:space="preserve">Pasta bolognese met gehaktballen</t>
  </si>
  <si>
    <t xml:space="preserve">dag 2</t>
  </si>
  <si>
    <t xml:space="preserve">Lunch (L3)</t>
  </si>
  <si>
    <t xml:space="preserve">Quesadilla met kwarkdip</t>
  </si>
  <si>
    <t xml:space="preserve">Diner (D3)</t>
  </si>
  <si>
    <t xml:space="preserve">Runderbiefstuk met zoete aardappelpuree en sperziebonen</t>
  </si>
  <si>
    <t xml:space="preserve">dag 3</t>
  </si>
  <si>
    <t xml:space="preserve">Lunch (L4)</t>
  </si>
  <si>
    <t xml:space="preserve">Skyr met muesli en fruit</t>
  </si>
  <si>
    <t xml:space="preserve">Diner (D4)</t>
  </si>
  <si>
    <t xml:space="preserve">Kip tikka masala met basmatirijst</t>
  </si>
  <si>
    <t xml:space="preserve">dag 4</t>
  </si>
  <si>
    <t xml:space="preserve">Lunch (L5)</t>
  </si>
  <si>
    <t xml:space="preserve">Omelet</t>
  </si>
  <si>
    <t xml:space="preserve">Diner (D5)</t>
  </si>
  <si>
    <t xml:space="preserve">Kipfilet met quinoa en geroosterde paprika</t>
  </si>
  <si>
    <t xml:space="preserve">dag 5</t>
  </si>
  <si>
    <t xml:space="preserve">Lunch (L6)</t>
  </si>
  <si>
    <t xml:space="preserve">Ei-avocadotoast</t>
  </si>
  <si>
    <t xml:space="preserve">Diner (D6)</t>
  </si>
  <si>
    <t xml:space="preserve">Runderschnitzel met aardappelpuree en champignons</t>
  </si>
  <si>
    <t xml:space="preserve">dag 6</t>
  </si>
  <si>
    <t xml:space="preserve">Lunch (L7)</t>
  </si>
  <si>
    <t xml:space="preserve">Eiersalade</t>
  </si>
  <si>
    <t xml:space="preserve">Diner (D7)</t>
  </si>
  <si>
    <t xml:space="preserve">Kipdrumsticks met couscous en gegrilde groenten</t>
  </si>
  <si>
    <t xml:space="preserve">dag 7</t>
  </si>
  <si>
    <t xml:space="preserve">Lunch (L8)</t>
  </si>
  <si>
    <t xml:space="preserve">Zoete aardappel-gehaktbowl met spinazie</t>
  </si>
  <si>
    <t xml:space="preserve">Diner (D8)</t>
  </si>
  <si>
    <t xml:space="preserve">Runder roerbak met noedels en groenten</t>
  </si>
  <si>
    <t xml:space="preserve">dag 8</t>
  </si>
  <si>
    <t xml:space="preserve">Lunch (L9)</t>
  </si>
  <si>
    <t xml:space="preserve">Prosciutto-meloenbak met mozzarella</t>
  </si>
  <si>
    <t xml:space="preserve">Diner (D9)</t>
  </si>
  <si>
    <t xml:space="preserve">Fajitas met bonen en guacamole</t>
  </si>
  <si>
    <t xml:space="preserve">dag 9</t>
  </si>
  <si>
    <t xml:space="preserve">Lunch (L10)</t>
  </si>
  <si>
    <t xml:space="preserve">Pesto-kippastasalade</t>
  </si>
  <si>
    <t xml:space="preserve">Diner (D10)</t>
  </si>
  <si>
    <t xml:space="preserve">Kip curry met rijst en groenten</t>
  </si>
  <si>
    <t xml:space="preserve">dag 10</t>
  </si>
  <si>
    <t xml:space="preserve">Lunch (L11)</t>
  </si>
  <si>
    <t xml:space="preserve">Kwarkbowl met muesli en blauwe bessen</t>
  </si>
  <si>
    <t xml:space="preserve">Diner (D11)</t>
  </si>
  <si>
    <t xml:space="preserve">Hamburgers met aardappelpartjes</t>
  </si>
  <si>
    <t xml:space="preserve">dag 11</t>
  </si>
  <si>
    <t xml:space="preserve">Lunch (L12)</t>
  </si>
  <si>
    <t xml:space="preserve">Volkorenboterhammen met kipfilet en huttenkase</t>
  </si>
  <si>
    <t xml:space="preserve">Diner (D12)</t>
  </si>
  <si>
    <t xml:space="preserve">Lasagne met salade</t>
  </si>
  <si>
    <t xml:space="preserve">dag 12</t>
  </si>
  <si>
    <t xml:space="preserve">Lunch (L13)</t>
  </si>
  <si>
    <t xml:space="preserve">Couscoussalade met kikkererwten en feta</t>
  </si>
  <si>
    <t xml:space="preserve">Diner (D13)</t>
  </si>
  <si>
    <t xml:space="preserve">Spiesjes (rund of kip) met tzatziki en naan</t>
  </si>
  <si>
    <t xml:space="preserve">dag 13</t>
  </si>
  <si>
    <t xml:space="preserve">Lunch (L14)</t>
  </si>
  <si>
    <t xml:space="preserve">Rundergehaktwrap met sla en tomaat</t>
  </si>
  <si>
    <t xml:space="preserve">Diner (D14)</t>
  </si>
  <si>
    <t xml:space="preserve">Shoarma met pita's</t>
  </si>
  <si>
    <t xml:space="preserve">dag 14</t>
  </si>
  <si>
    <t xml:space="preserve">Lunch (L15)</t>
  </si>
  <si>
    <t xml:space="preserve">Zalmsalade met parelgort</t>
  </si>
  <si>
    <t xml:space="preserve">Diner (D15)</t>
  </si>
  <si>
    <t xml:space="preserve">Gehaktballen met rijst en tzatziki</t>
  </si>
  <si>
    <t xml:space="preserve">dag 15</t>
  </si>
  <si>
    <t xml:space="preserve">Lunch (L16)</t>
  </si>
  <si>
    <t xml:space="preserve">Skyr met banaan, pindakaas en honing</t>
  </si>
  <si>
    <t xml:space="preserve">Diner (D16)</t>
  </si>
  <si>
    <t xml:space="preserve">Tonijnsalade met parelgort</t>
  </si>
  <si>
    <t xml:space="preserve">dag 16</t>
  </si>
  <si>
    <t xml:space="preserve">Lunch (L17)</t>
  </si>
  <si>
    <t xml:space="preserve">Griekse salade met feta en pita</t>
  </si>
  <si>
    <t xml:space="preserve">Diner (D17)</t>
  </si>
  <si>
    <t xml:space="preserve">Garnalenpasta met spinazie</t>
  </si>
  <si>
    <t xml:space="preserve">dag 17</t>
  </si>
  <si>
    <t xml:space="preserve">Lunch (L18)</t>
  </si>
  <si>
    <t xml:space="preserve">Restje: chili con carne met rijst</t>
  </si>
  <si>
    <t xml:space="preserve">Diner (D18)</t>
  </si>
  <si>
    <t xml:space="preserve">Tonijnpokebowl</t>
  </si>
  <si>
    <t xml:space="preserve">dag 18</t>
  </si>
  <si>
    <t xml:space="preserve">Lunch (L19)</t>
  </si>
  <si>
    <t xml:space="preserve">Tonijn-pastasalade met mais</t>
  </si>
  <si>
    <t xml:space="preserve">Diner (D19)</t>
  </si>
  <si>
    <t xml:space="preserve">Vissticks met groenten en zoete aardappel</t>
  </si>
  <si>
    <t xml:space="preserve">dag 19</t>
  </si>
  <si>
    <t xml:space="preserve">Lunch (L20)</t>
  </si>
  <si>
    <t xml:space="preserve">Omeletwrap met spinazie en kaas</t>
  </si>
  <si>
    <t xml:space="preserve">Diner (D20)</t>
  </si>
  <si>
    <t xml:space="preserve">Gemengde viswok</t>
  </si>
  <si>
    <t xml:space="preserve">dag 20</t>
  </si>
  <si>
    <t xml:space="preserve">Lunch (L21)</t>
  </si>
  <si>
    <t xml:space="preserve">Kipfilet-quinoasalade met paprika</t>
  </si>
  <si>
    <t xml:space="preserve">Diner (D21)</t>
  </si>
  <si>
    <t xml:space="preserve">Zalm tagliatelle met groenten</t>
  </si>
  <si>
    <t xml:space="preserve">dag 21</t>
  </si>
  <si>
    <t xml:space="preserve">Lunch (L22)</t>
  </si>
  <si>
    <t xml:space="preserve">Broodje gezond met ei en ham</t>
  </si>
  <si>
    <t xml:space="preserve">Diner (D22)</t>
  </si>
  <si>
    <t xml:space="preserve">Shakshuka met ei</t>
  </si>
  <si>
    <t xml:space="preserve">dag 22</t>
  </si>
  <si>
    <t xml:space="preserve">Lunch (L23)</t>
  </si>
  <si>
    <t xml:space="preserve">Linzensalade met feta en granaatappel</t>
  </si>
  <si>
    <t xml:space="preserve">Diner (D23)</t>
  </si>
  <si>
    <t xml:space="preserve">Groentesoep met gehaktballen</t>
  </si>
  <si>
    <t xml:space="preserve">dag 23</t>
  </si>
  <si>
    <t xml:space="preserve">Lunch (L24)</t>
  </si>
  <si>
    <t xml:space="preserve">Kwark met muesli, appel en amandelen</t>
  </si>
  <si>
    <t xml:space="preserve">Diner (D24)</t>
  </si>
  <si>
    <t xml:space="preserve">Tomatensoep met tosti kaas</t>
  </si>
  <si>
    <t xml:space="preserve">dag 24</t>
  </si>
  <si>
    <t xml:space="preserve">Lunch (L25)</t>
  </si>
  <si>
    <t xml:space="preserve">Restje: kip curry met rijst</t>
  </si>
  <si>
    <t xml:space="preserve">Diner (D25)</t>
  </si>
  <si>
    <t xml:space="preserve">Griekse feta omelet met spinazie</t>
  </si>
  <si>
    <t xml:space="preserve">dag 25</t>
  </si>
  <si>
    <t xml:space="preserve">Lunch (L26)</t>
  </si>
  <si>
    <t xml:space="preserve">Garnalensalade met avocado en quinoa</t>
  </si>
  <si>
    <t xml:space="preserve">Diner (D26)</t>
  </si>
  <si>
    <t xml:space="preserve">Edamame quinoa salade met kaas</t>
  </si>
  <si>
    <t xml:space="preserve">dag 26</t>
  </si>
  <si>
    <t xml:space="preserve">Lunch (L27)</t>
  </si>
  <si>
    <t xml:space="preserve">Volkorenboterhammen met pindakaas en banaan</t>
  </si>
  <si>
    <t xml:space="preserve">Diner (D27)</t>
  </si>
  <si>
    <t xml:space="preserve">Zalmfilet met aardappelpuree en asperges</t>
  </si>
  <si>
    <t xml:space="preserve">dag 27</t>
  </si>
  <si>
    <t xml:space="preserve">Lunch (L28)</t>
  </si>
  <si>
    <t xml:space="preserve">Restje: pasta bolognese</t>
  </si>
  <si>
    <t xml:space="preserve">Diner (D28)</t>
  </si>
  <si>
    <t xml:space="preserve">Eendenborst met sinaasappel en roti</t>
  </si>
  <si>
    <t xml:space="preserve">dag 28</t>
  </si>
  <si>
    <t xml:space="preserve">Lunch (L29)</t>
  </si>
  <si>
    <t xml:space="preserve">Bonen-maissalade met kip en avocado</t>
  </si>
  <si>
    <t xml:space="preserve">Diner (D29)</t>
  </si>
  <si>
    <t xml:space="preserve">Ragout met couscous en abrikozen</t>
  </si>
  <si>
    <t xml:space="preserve">dag 29</t>
  </si>
  <si>
    <t xml:space="preserve">Lunch (L30)</t>
  </si>
  <si>
    <t xml:space="preserve">Huttenkase-toast met ei en tomaat</t>
  </si>
  <si>
    <t xml:space="preserve">Diner (D30)</t>
  </si>
  <si>
    <t xml:space="preserve">Falafel met rijst en granaatappel</t>
  </si>
  <si>
    <t xml:space="preserve">dag 30</t>
  </si>
  <si>
    <t xml:space="preserve">Diner (D31)</t>
  </si>
  <si>
    <t xml:space="preserve">Pannenkoeken met spek</t>
  </si>
  <si>
    <t xml:space="preserve">dag 31</t>
  </si>
  <si>
    <t xml:space="preserve">Diner (D32)</t>
  </si>
  <si>
    <t xml:space="preserve">Kalkoen-/kipfilet met zilvervliesrijst en broccoli</t>
  </si>
  <si>
    <t xml:space="preserve">dag 32</t>
  </si>
  <si>
    <t xml:space="preserve">Diner (D33)</t>
  </si>
  <si>
    <t xml:space="preserve">Chili con carne met rijst</t>
  </si>
  <si>
    <t xml:space="preserve">dag 33</t>
  </si>
  <si>
    <t xml:space="preserve">Diner (D34)</t>
  </si>
  <si>
    <t xml:space="preserve">Kip souvlaki met griekse salade en pita</t>
  </si>
  <si>
    <t xml:space="preserve">dag 34</t>
  </si>
  <si>
    <t xml:space="preserve">Diner (D35)</t>
  </si>
  <si>
    <t xml:space="preserve">Zalmburger met zoete aardappel</t>
  </si>
  <si>
    <t xml:space="preserve">dag 35</t>
  </si>
  <si>
    <t xml:space="preserve">Diner (D36)</t>
  </si>
  <si>
    <t xml:space="preserve">Biefstuk stroganoff met tagliatelle</t>
  </si>
  <si>
    <t xml:space="preserve">dag 36</t>
  </si>
  <si>
    <t xml:space="preserve">Diner (D37)</t>
  </si>
  <si>
    <t xml:space="preserve">Kip pesto pasta met cherrytomaat</t>
  </si>
  <si>
    <t xml:space="preserve">dag 37</t>
  </si>
  <si>
    <t xml:space="preserve">Diner (D38)</t>
  </si>
  <si>
    <t xml:space="preserve">Rundersate met rijst en groenten</t>
  </si>
  <si>
    <t xml:space="preserve">dag 38</t>
  </si>
  <si>
    <t xml:space="preserve">Diner (D39)</t>
  </si>
  <si>
    <t xml:space="preserve">Kabeljauw met aardappel en spinazie</t>
  </si>
  <si>
    <t xml:space="preserve">dag 39</t>
  </si>
  <si>
    <t xml:space="preserve">Diner (D40)</t>
  </si>
  <si>
    <t xml:space="preserve">Kip shoarma bowl met couscous</t>
  </si>
  <si>
    <t xml:space="preserve">dag 40</t>
  </si>
  <si>
    <t xml:space="preserve">Diner (D41)</t>
  </si>
  <si>
    <t xml:space="preserve">Gehaktbrood met aardappelpuree en doperwten</t>
  </si>
  <si>
    <t xml:space="preserve">dag 41</t>
  </si>
  <si>
    <t xml:space="preserve">Diner (D42)</t>
  </si>
  <si>
    <t xml:space="preserve">Garnalen roerbak met noedels</t>
  </si>
  <si>
    <t xml:space="preserve">dag 42</t>
  </si>
  <si>
    <t xml:space="preserve">Diner (D43)</t>
  </si>
  <si>
    <t xml:space="preserve">Kipfilet met parelgort en champignonsaus</t>
  </si>
  <si>
    <t xml:space="preserve">dag 43</t>
  </si>
  <si>
    <t xml:space="preserve">Diner (D44)</t>
  </si>
  <si>
    <t xml:space="preserve">Runderstoof met aardappel en wortel</t>
  </si>
  <si>
    <t xml:space="preserve">dag 44</t>
  </si>
  <si>
    <t xml:space="preserve">Diner (D45)</t>
  </si>
  <si>
    <t xml:space="preserve">Tonijnpasta met tomatensaus</t>
  </si>
  <si>
    <t xml:space="preserve">dag 45</t>
  </si>
  <si>
    <t xml:space="preserve">Diner (D46)</t>
  </si>
  <si>
    <t xml:space="preserve">Kip fajita bowl met rijst en bonen</t>
  </si>
  <si>
    <t xml:space="preserve">dag 46</t>
  </si>
  <si>
    <t xml:space="preserve">Diner (D47)</t>
  </si>
  <si>
    <t xml:space="preserve">Zalm poke bowl met edamame</t>
  </si>
  <si>
    <t xml:space="preserve">dag 47</t>
  </si>
  <si>
    <t xml:space="preserve">Diner (D48)</t>
  </si>
  <si>
    <t xml:space="preserve">Biefstukreepjes wrap met groenten</t>
  </si>
  <si>
    <t xml:space="preserve">dag 48</t>
  </si>
  <si>
    <t xml:space="preserve">Diner (D49)</t>
  </si>
  <si>
    <t xml:space="preserve">Kip madras met basmatirijst</t>
  </si>
  <si>
    <t xml:space="preserve">dag 49</t>
  </si>
  <si>
    <t xml:space="preserve">Diner (D50)</t>
  </si>
  <si>
    <t xml:space="preserve">Vissticks wrap met sla en yoghurtdressing</t>
  </si>
  <si>
    <t xml:space="preserve">dag 50</t>
  </si>
  <si>
    <t xml:space="preserve">Diner (D51)</t>
  </si>
  <si>
    <t xml:space="preserve">Kipgehaktballetjes in tomatensaus met pasta</t>
  </si>
  <si>
    <t xml:space="preserve">dag 51</t>
  </si>
  <si>
    <t xml:space="preserve">Diner (D52)</t>
  </si>
  <si>
    <t xml:space="preserve">Runderburger bowl met zoete aardappel</t>
  </si>
  <si>
    <t xml:space="preserve">dag 52</t>
  </si>
  <si>
    <t xml:space="preserve">Diner (D53)</t>
  </si>
  <si>
    <t xml:space="preserve">Kabeljauw met couscous en gegrilde paprika</t>
  </si>
  <si>
    <t xml:space="preserve">dag 53</t>
  </si>
  <si>
    <t xml:space="preserve">Diner (D54)</t>
  </si>
  <si>
    <t xml:space="preserve">Kip cordon bleu-stijl met aardappelpartjes</t>
  </si>
  <si>
    <t xml:space="preserve">dag 54</t>
  </si>
  <si>
    <t xml:space="preserve">Diner (D55)</t>
  </si>
  <si>
    <t xml:space="preserve">Garnalencurry met rijst</t>
  </si>
  <si>
    <t xml:space="preserve">dag 55</t>
  </si>
  <si>
    <t xml:space="preserve">Diner (D56)</t>
  </si>
  <si>
    <t xml:space="preserve">Moussaka met courgette en gehakt</t>
  </si>
  <si>
    <t xml:space="preserve">dag 56</t>
  </si>
  <si>
    <t xml:space="preserve">Diner (D57)</t>
  </si>
  <si>
    <t xml:space="preserve">Kipfilet teriyaki noedels</t>
  </si>
  <si>
    <t xml:space="preserve">dag 57</t>
  </si>
  <si>
    <t xml:space="preserve">Diner (D58)</t>
  </si>
  <si>
    <t xml:space="preserve">Zalm met quinoa en asperges</t>
  </si>
  <si>
    <t xml:space="preserve">dag 58</t>
  </si>
  <si>
    <t xml:space="preserve">Diner (D59)</t>
  </si>
  <si>
    <t xml:space="preserve">Rundersteak salade met parelgort</t>
  </si>
  <si>
    <t xml:space="preserve">dag 59</t>
  </si>
  <si>
    <t xml:space="preserve">Diner (D60)</t>
  </si>
  <si>
    <t xml:space="preserve">Kip biryani met yoghurt en granaatappel</t>
  </si>
  <si>
    <t xml:space="preserve">dag 60</t>
  </si>
  <si>
    <t xml:space="preserve">Nr</t>
  </si>
  <si>
    <t xml:space="preserve">Gerecht</t>
  </si>
  <si>
    <t xml:space="preserve">Ingredient</t>
  </si>
  <si>
    <t xml:space="preserve">Gram</t>
  </si>
  <si>
    <t xml:space="preserve">D1</t>
  </si>
  <si>
    <t xml:space="preserve">kipfilet (gaar)</t>
  </si>
  <si>
    <t xml:space="preserve">witte rijst (gekookt)</t>
  </si>
  <si>
    <t xml:space="preserve">broccoli (gaar)</t>
  </si>
  <si>
    <t xml:space="preserve">honing</t>
  </si>
  <si>
    <t xml:space="preserve">olijfolie</t>
  </si>
  <si>
    <t xml:space="preserve">knoflook</t>
  </si>
  <si>
    <t xml:space="preserve">kruiden/specerijen mix</t>
  </si>
  <si>
    <t xml:space="preserve">wortel (gaar)</t>
  </si>
  <si>
    <t xml:space="preserve">portie totaal</t>
  </si>
  <si>
    <t xml:space="preserve">D2</t>
  </si>
  <si>
    <t xml:space="preserve">pasta (gekookt)</t>
  </si>
  <si>
    <t xml:space="preserve">rundergehakt 5% (gaar)</t>
  </si>
  <si>
    <t xml:space="preserve">gehaktbal (rund, gaar)</t>
  </si>
  <si>
    <t xml:space="preserve">passata/tomatenpuree</t>
  </si>
  <si>
    <t xml:space="preserve">ui (gefruit)</t>
  </si>
  <si>
    <t xml:space="preserve">parmezaan</t>
  </si>
  <si>
    <t xml:space="preserve">D3</t>
  </si>
  <si>
    <t xml:space="preserve">biefstuk (gaar)</t>
  </si>
  <si>
    <t xml:space="preserve">zoete aardappelpuree</t>
  </si>
  <si>
    <t xml:space="preserve">sperziebonen (gaar)</t>
  </si>
  <si>
    <t xml:space="preserve">roomboter</t>
  </si>
  <si>
    <t xml:space="preserve">D4</t>
  </si>
  <si>
    <t xml:space="preserve">basmatirijst (gekookt)</t>
  </si>
  <si>
    <t xml:space="preserve">tomatenblokjes (blik)</t>
  </si>
  <si>
    <t xml:space="preserve">kokosmelk (blik, vol)</t>
  </si>
  <si>
    <t xml:space="preserve">currypasta/kruidenpasta</t>
  </si>
  <si>
    <t xml:space="preserve">D5</t>
  </si>
  <si>
    <t xml:space="preserve">quinoa (gekookt)</t>
  </si>
  <si>
    <t xml:space="preserve">paprika rood (gaar)</t>
  </si>
  <si>
    <t xml:space="preserve">citroensap</t>
  </si>
  <si>
    <t xml:space="preserve">D6</t>
  </si>
  <si>
    <t xml:space="preserve">runderschnitzel (gaar)</t>
  </si>
  <si>
    <t xml:space="preserve">aardappelpuree (m. melk)</t>
  </si>
  <si>
    <t xml:space="preserve">champignons (gebakken)</t>
  </si>
  <si>
    <t xml:space="preserve">D7</t>
  </si>
  <si>
    <t xml:space="preserve">kipdrumstick (gaar, m. vel)</t>
  </si>
  <si>
    <t xml:space="preserve">couscous (bereid)</t>
  </si>
  <si>
    <t xml:space="preserve">gegrilde groentemix</t>
  </si>
  <si>
    <t xml:space="preserve">D8</t>
  </si>
  <si>
    <t xml:space="preserve">runderreepjes roerbak (gaar)</t>
  </si>
  <si>
    <t xml:space="preserve">noedels (gekookt)</t>
  </si>
  <si>
    <t xml:space="preserve">roerbakgroenten mix</t>
  </si>
  <si>
    <t xml:space="preserve">D9</t>
  </si>
  <si>
    <t xml:space="preserve">tortillawrap (tarwe)</t>
  </si>
  <si>
    <t xml:space="preserve">zwarte bonen (blik, uitgelekt)</t>
  </si>
  <si>
    <t xml:space="preserve">guacamole</t>
  </si>
  <si>
    <t xml:space="preserve">D10</t>
  </si>
  <si>
    <t xml:space="preserve">D11</t>
  </si>
  <si>
    <t xml:space="preserve">rundergehakt 15% (gaar)</t>
  </si>
  <si>
    <t xml:space="preserve">wit brood</t>
  </si>
  <si>
    <t xml:space="preserve">aardappelpartjes (oven)</t>
  </si>
  <si>
    <t xml:space="preserve">sla/ijsbergsla</t>
  </si>
  <si>
    <t xml:space="preserve">tomaat (vers)</t>
  </si>
  <si>
    <t xml:space="preserve">mayonaise</t>
  </si>
  <si>
    <t xml:space="preserve">D12</t>
  </si>
  <si>
    <t xml:space="preserve">geraspte kaas 30+</t>
  </si>
  <si>
    <t xml:space="preserve">halfvolle melk</t>
  </si>
  <si>
    <t xml:space="preserve">komkommer</t>
  </si>
  <si>
    <t xml:space="preserve">D13</t>
  </si>
  <si>
    <t xml:space="preserve">naanbrood</t>
  </si>
  <si>
    <t xml:space="preserve">tzatziki</t>
  </si>
  <si>
    <t xml:space="preserve">D14</t>
  </si>
  <si>
    <t xml:space="preserve">shoarmavlees (gaar)</t>
  </si>
  <si>
    <t xml:space="preserve">pitabrood</t>
  </si>
  <si>
    <t xml:space="preserve">yoghurtdressing (light)</t>
  </si>
  <si>
    <t xml:space="preserve">D15</t>
  </si>
  <si>
    <t xml:space="preserve">D16</t>
  </si>
  <si>
    <t xml:space="preserve">tonijn in blik (water)</t>
  </si>
  <si>
    <t xml:space="preserve">parelgort (gekookt)</t>
  </si>
  <si>
    <t xml:space="preserve">mais (blik)</t>
  </si>
  <si>
    <t xml:space="preserve">D17</t>
  </si>
  <si>
    <t xml:space="preserve">garnalen (gaar)</t>
  </si>
  <si>
    <t xml:space="preserve">spinazie (gaar)</t>
  </si>
  <si>
    <t xml:space="preserve">D18</t>
  </si>
  <si>
    <t xml:space="preserve">verse tonijnsteak (gaar)</t>
  </si>
  <si>
    <t xml:space="preserve">edamame (gaar)</t>
  </si>
  <si>
    <t xml:space="preserve">avocado</t>
  </si>
  <si>
    <t xml:space="preserve">D19</t>
  </si>
  <si>
    <t xml:space="preserve">vissticks (oven)</t>
  </si>
  <si>
    <t xml:space="preserve">zoete aardappel (gaar)</t>
  </si>
  <si>
    <t xml:space="preserve">D20</t>
  </si>
  <si>
    <t xml:space="preserve">kabeljauw/witvis (gaar)</t>
  </si>
  <si>
    <t xml:space="preserve">D21</t>
  </si>
  <si>
    <t xml:space="preserve">zalmfilet (gaar)</t>
  </si>
  <si>
    <t xml:space="preserve">tagliatelle (gekookt)</t>
  </si>
  <si>
    <t xml:space="preserve">courgette (gaar)</t>
  </si>
  <si>
    <t xml:space="preserve">D22</t>
  </si>
  <si>
    <t xml:space="preserve">ei (heel, gaar)</t>
  </si>
  <si>
    <t xml:space="preserve">volkorenbrood</t>
  </si>
  <si>
    <t xml:space="preserve">feta</t>
  </si>
  <si>
    <t xml:space="preserve">D23</t>
  </si>
  <si>
    <t xml:space="preserve">doperwten (gaar)</t>
  </si>
  <si>
    <t xml:space="preserve">bloemkool (gaar)</t>
  </si>
  <si>
    <t xml:space="preserve">D24</t>
  </si>
  <si>
    <t xml:space="preserve">D25</t>
  </si>
  <si>
    <t xml:space="preserve">eiwit (los)</t>
  </si>
  <si>
    <t xml:space="preserve">D26</t>
  </si>
  <si>
    <t xml:space="preserve">D27</t>
  </si>
  <si>
    <t xml:space="preserve">asperges (gaar)</t>
  </si>
  <si>
    <t xml:space="preserve">D28</t>
  </si>
  <si>
    <t xml:space="preserve">eendenborst m. vel (gaar)</t>
  </si>
  <si>
    <t xml:space="preserve">roti (plat)</t>
  </si>
  <si>
    <t xml:space="preserve">sinaasappel</t>
  </si>
  <si>
    <t xml:space="preserve">D29</t>
  </si>
  <si>
    <t xml:space="preserve">abrikozen (gedroogd)</t>
  </si>
  <si>
    <t xml:space="preserve">D30</t>
  </si>
  <si>
    <t xml:space="preserve">falafel (gebakken)</t>
  </si>
  <si>
    <t xml:space="preserve">granaatappelpitjes</t>
  </si>
  <si>
    <t xml:space="preserve">D31</t>
  </si>
  <si>
    <t xml:space="preserve">pannenkoekmix (droog)</t>
  </si>
  <si>
    <t xml:space="preserve">gebakken spek</t>
  </si>
  <si>
    <t xml:space="preserve">D32</t>
  </si>
  <si>
    <t xml:space="preserve">zilvervliesrijst (gekookt)</t>
  </si>
  <si>
    <t xml:space="preserve">D33</t>
  </si>
  <si>
    <t xml:space="preserve">kidneybonen (blik)</t>
  </si>
  <si>
    <t xml:space="preserve">D34</t>
  </si>
  <si>
    <t xml:space="preserve">D35</t>
  </si>
  <si>
    <t xml:space="preserve">D36</t>
  </si>
  <si>
    <t xml:space="preserve">griekse yoghurt 2%</t>
  </si>
  <si>
    <t xml:space="preserve">D37</t>
  </si>
  <si>
    <t xml:space="preserve">pesto (groen)</t>
  </si>
  <si>
    <t xml:space="preserve">D38</t>
  </si>
  <si>
    <t xml:space="preserve">pindakaas (Calve)</t>
  </si>
  <si>
    <t xml:space="preserve">D39</t>
  </si>
  <si>
    <t xml:space="preserve">aardappel (gekookt)</t>
  </si>
  <si>
    <t xml:space="preserve">D40</t>
  </si>
  <si>
    <t xml:space="preserve">D41</t>
  </si>
  <si>
    <t xml:space="preserve">D42</t>
  </si>
  <si>
    <t xml:space="preserve">D43</t>
  </si>
  <si>
    <t xml:space="preserve">D44</t>
  </si>
  <si>
    <t xml:space="preserve">D45</t>
  </si>
  <si>
    <t xml:space="preserve">D46</t>
  </si>
  <si>
    <t xml:space="preserve">D47</t>
  </si>
  <si>
    <t xml:space="preserve">D48</t>
  </si>
  <si>
    <t xml:space="preserve">D49</t>
  </si>
  <si>
    <t xml:space="preserve">D50</t>
  </si>
  <si>
    <t xml:space="preserve">D51</t>
  </si>
  <si>
    <t xml:space="preserve">kipdij zonder vel (gaar)</t>
  </si>
  <si>
    <t xml:space="preserve">D52</t>
  </si>
  <si>
    <t xml:space="preserve">D53</t>
  </si>
  <si>
    <t xml:space="preserve">D54</t>
  </si>
  <si>
    <t xml:space="preserve">prosciutto/rauwe ham</t>
  </si>
  <si>
    <t xml:space="preserve">D55</t>
  </si>
  <si>
    <t xml:space="preserve">D56</t>
  </si>
  <si>
    <t xml:space="preserve">D57</t>
  </si>
  <si>
    <t xml:space="preserve">D58</t>
  </si>
  <si>
    <t xml:space="preserve">D59</t>
  </si>
  <si>
    <t xml:space="preserve">D60</t>
  </si>
  <si>
    <t xml:space="preserve">L1</t>
  </si>
  <si>
    <t xml:space="preserve">magere kwark 0%</t>
  </si>
  <si>
    <t xml:space="preserve">L2</t>
  </si>
  <si>
    <t xml:space="preserve">L3</t>
  </si>
  <si>
    <t xml:space="preserve">L4</t>
  </si>
  <si>
    <t xml:space="preserve">skyr (Arla, naturel)</t>
  </si>
  <si>
    <t xml:space="preserve">muesli (ongezoet)</t>
  </si>
  <si>
    <t xml:space="preserve">blauwe bessen</t>
  </si>
  <si>
    <t xml:space="preserve">banaan</t>
  </si>
  <si>
    <t xml:space="preserve">L5</t>
  </si>
  <si>
    <t xml:space="preserve">L6</t>
  </si>
  <si>
    <t xml:space="preserve">L7</t>
  </si>
  <si>
    <t xml:space="preserve">L8</t>
  </si>
  <si>
    <t xml:space="preserve">L9</t>
  </si>
  <si>
    <t xml:space="preserve">meloen (cantaloupe)</t>
  </si>
  <si>
    <t xml:space="preserve">mozzarella</t>
  </si>
  <si>
    <t xml:space="preserve">L10</t>
  </si>
  <si>
    <t xml:space="preserve">L11</t>
  </si>
  <si>
    <t xml:space="preserve">walnoten</t>
  </si>
  <si>
    <t xml:space="preserve">L12</t>
  </si>
  <si>
    <t xml:space="preserve">huttenkase</t>
  </si>
  <si>
    <t xml:space="preserve">L13</t>
  </si>
  <si>
    <t xml:space="preserve">kikkererwten (blik)</t>
  </si>
  <si>
    <t xml:space="preserve">L14</t>
  </si>
  <si>
    <t xml:space="preserve">L15</t>
  </si>
  <si>
    <t xml:space="preserve">L16</t>
  </si>
  <si>
    <t xml:space="preserve">L17</t>
  </si>
  <si>
    <t xml:space="preserve">L18</t>
  </si>
  <si>
    <t xml:space="preserve">L19</t>
  </si>
  <si>
    <t xml:space="preserve">L20</t>
  </si>
  <si>
    <t xml:space="preserve">L21</t>
  </si>
  <si>
    <t xml:space="preserve">L22</t>
  </si>
  <si>
    <t xml:space="preserve">L23</t>
  </si>
  <si>
    <t xml:space="preserve">linzen (gekookt)</t>
  </si>
  <si>
    <t xml:space="preserve">L24</t>
  </si>
  <si>
    <t xml:space="preserve">appel</t>
  </si>
  <si>
    <t xml:space="preserve">amandelen</t>
  </si>
  <si>
    <t xml:space="preserve">L25</t>
  </si>
  <si>
    <t xml:space="preserve">L26</t>
  </si>
  <si>
    <t xml:space="preserve">L27</t>
  </si>
  <si>
    <t xml:space="preserve">L28</t>
  </si>
  <si>
    <t xml:space="preserve">L29</t>
  </si>
  <si>
    <t xml:space="preserve">L30</t>
  </si>
  <si>
    <t xml:space="preserve">O1</t>
  </si>
  <si>
    <t xml:space="preserve">ONTBIJT - Upfront Baked Oats banaan-choco + melk, banaan, pindakaas</t>
  </si>
  <si>
    <t xml:space="preserve">Upfront Baked Oats banaan (droog)</t>
  </si>
  <si>
    <t xml:space="preserve">O2</t>
  </si>
  <si>
    <t xml:space="preserve">ONTBIJT - Upfront Eiwit Oats chocolade + melk, blauwe bessen, honing</t>
  </si>
  <si>
    <t xml:space="preserve">Upfront Eiwit Oats (droog)</t>
  </si>
  <si>
    <t xml:space="preserve">O3</t>
  </si>
  <si>
    <t xml:space="preserve">ONTBIJT - Upfront Rijstpudding vanille + melk, aardbeien, amandelen</t>
  </si>
  <si>
    <t xml:space="preserve">Upfront Rijstpudding vanille (droog)</t>
  </si>
  <si>
    <t xml:space="preserve">aardbeien</t>
  </si>
  <si>
    <t xml:space="preserve">PW</t>
  </si>
  <si>
    <t xml:space="preserve">PRE-WORKOUT - Red Bull + 4 rijstwafels met banaan en honing</t>
  </si>
  <si>
    <t xml:space="preserve">Red Bull (blikje 250 ml)</t>
  </si>
  <si>
    <t xml:space="preserve">rijstwafel (per 100 g)</t>
  </si>
  <si>
    <t xml:space="preserve">PW-alt</t>
  </si>
  <si>
    <t xml:space="preserve">PRE-WORKOUT ALTERNATIEF - Rijstwafels + honing + espresso/koffie + snufje zout (zonder Red Bull)</t>
  </si>
  <si>
    <t xml:space="preserve">gejodeerd keukenzout</t>
  </si>
  <si>
    <t xml:space="preserve">H1</t>
  </si>
  <si>
    <t xml:space="preserve">POST-WORKOUT - Whey + witte rijst met honing</t>
  </si>
  <si>
    <t xml:space="preserve">whey isolaat</t>
  </si>
  <si>
    <t xml:space="preserve">H2</t>
  </si>
  <si>
    <t xml:space="preserve">POST-WORKOUT - Skyr met muesli en banaan</t>
  </si>
  <si>
    <t xml:space="preserve">H3</t>
  </si>
  <si>
    <t xml:space="preserve">POST-WORKOUT - Upfront rijstpudding met melk en banaan</t>
  </si>
  <si>
    <t xml:space="preserve">S1</t>
  </si>
  <si>
    <t xml:space="preserve">SNACK VOOR BED - Ninja Creami: kwark-honing-banaan</t>
  </si>
  <si>
    <t xml:space="preserve">S2</t>
  </si>
  <si>
    <t xml:space="preserve">SNACK VOOR BED - Ninja Creami: skyr-blauwe bes-honing</t>
  </si>
  <si>
    <t xml:space="preserve">S3</t>
  </si>
  <si>
    <t xml:space="preserve">SNACK VOOR BED - Kwark met honing en walnoten</t>
  </si>
  <si>
    <t xml:space="preserve">S4</t>
  </si>
  <si>
    <t xml:space="preserve">SNACK VOOR BED - Kwark met sinaasappelsap en honing</t>
  </si>
  <si>
    <t xml:space="preserve">sinaasappelsap (vers)</t>
  </si>
  <si>
    <t xml:space="preserve">S5</t>
  </si>
  <si>
    <t xml:space="preserve">SNACK VOOR BED - Rijstwafels met pindakaas en honing + glas melk</t>
  </si>
  <si>
    <t xml:space="preserve">S6</t>
  </si>
  <si>
    <t xml:space="preserve">SNACK VOOR BED - Ninja Creami: kwark-dadel-melk</t>
  </si>
  <si>
    <t xml:space="preserve">dadels (medjool)</t>
  </si>
  <si>
    <t xml:space="preserve">Percentage van de referentie-inname, inclusief 2 tabletten Bonusan Multi Mineral Forte en 1 schep D-Bloat. Rood = onder 100%.</t>
  </si>
  <si>
    <t xml:space="preserve">Referentie</t>
  </si>
  <si>
    <t xml:space="preserve">Vit A (mcg)</t>
  </si>
  <si>
    <t xml:space="preserve">Vit C (mg)</t>
  </si>
  <si>
    <t xml:space="preserve">Vit D (mcg)</t>
  </si>
  <si>
    <t xml:space="preserve">Vit E (mg)</t>
  </si>
  <si>
    <t xml:space="preserve">Vit K (mcg)</t>
  </si>
  <si>
    <t xml:space="preserve">B1 (mg)</t>
  </si>
  <si>
    <t xml:space="preserve">B2 (mg)</t>
  </si>
  <si>
    <t xml:space="preserve">B3 (mg)</t>
  </si>
  <si>
    <t xml:space="preserve">B6 (mg)</t>
  </si>
  <si>
    <t xml:space="preserve">B12 (mcg)</t>
  </si>
  <si>
    <t xml:space="preserve">Folaat (mcg)</t>
  </si>
  <si>
    <t xml:space="preserve">Calcium (mg)</t>
  </si>
  <si>
    <t xml:space="preserve">IJzer (mg)</t>
  </si>
  <si>
    <t xml:space="preserve">Magnesium (mg)</t>
  </si>
  <si>
    <t xml:space="preserve">Zink (mg)</t>
  </si>
  <si>
    <t xml:space="preserve">Kalium (mg)</t>
  </si>
  <si>
    <t xml:space="preserve">Selenium (mcg)</t>
  </si>
  <si>
    <t xml:space="preserve">Jodium (mcg)</t>
  </si>
  <si>
    <t xml:space="preserve">Geel = boven de Europese bovengrens voor langdurig gebruik (zink 25 mg, ijzer 45 mg, vit A 3000 mcg, selenium 300 mcg, jodium 600 mcg).</t>
  </si>
  <si>
    <t xml:space="preserve">Zink komt boven die grens uit zodra je 3 in plaats van 2 Bonusan-tabletten neemt. Bij 2 tabletten zit je er net onder.</t>
  </si>
  <si>
    <t xml:space="preserve">DAGPROTOCOL</t>
  </si>
  <si>
    <t xml:space="preserve">Middel</t>
  </si>
  <si>
    <t xml:space="preserve">Dosering</t>
  </si>
  <si>
    <t xml:space="preserve">Wanneer</t>
  </si>
  <si>
    <t xml:space="preserve">Waarom / opmerking</t>
  </si>
  <si>
    <t xml:space="preserve">Vitamine D3</t>
  </si>
  <si>
    <t xml:space="preserve">10-25 mcg (400-1000 IE)</t>
  </si>
  <si>
    <t xml:space="preserve">Bij het ontbijt</t>
  </si>
  <si>
    <t xml:space="preserve">HOUDT HET GAT DICHT. 53 van de 60 dagen levert je voeding minder dan de referentie-inname; gemiddeld haal je ~34%. Je multi bevat geen vitamines. Neem het bij een maaltijd met vet, D is vetoplosbaar - het ontbijt met pindakaas of amandelen is een goed moment.</t>
  </si>
  <si>
    <t xml:space="preserve">Omega 3 (vis)</t>
  </si>
  <si>
    <t xml:space="preserve">Volgens etiket, mik op 500-1000 mg EPA+DHA</t>
  </si>
  <si>
    <t xml:space="preserve">Bij een maaltijd</t>
  </si>
  <si>
    <t xml:space="preserve">Blijf nemen. Je schema heeft 6 visdagen op 60 dagen buiten de vaste modules om, dus je haalt EPA en DHA niet uit voeding alleen.</t>
  </si>
  <si>
    <t xml:space="preserve">Creatine monohydraat</t>
  </si>
  <si>
    <t xml:space="preserve">5 g</t>
  </si>
  <si>
    <t xml:space="preserve">Wanneer je wilt, timing maakt niet uit</t>
  </si>
  <si>
    <t xml:space="preserve">Blijf nemen. Werkt op verzadiging van de spier, niet op het moment van innemen.</t>
  </si>
  <si>
    <t xml:space="preserve">Bonusan Multi Mineral Forte</t>
  </si>
  <si>
    <t xml:space="preserve">2 tabletten (niet 3)</t>
  </si>
  <si>
    <t xml:space="preserve">Bij het eten</t>
  </si>
  <si>
    <t xml:space="preserve">TERUG NAAR LABELDOSERING. Bij 3 tabletten kom je met dit eetschema op ~32 mg zink; de Europese bovengrens voor langdurig gebruik is 25 mg. Alle mineralen zitten in dit schema al ruim boven de referentie zonder pil, dus je kunt hem ook gewoon weglaten.</t>
  </si>
  <si>
    <t xml:space="preserve">D-Bloat (ATRAKT)</t>
  </si>
  <si>
    <t xml:space="preserve">Niet dagelijks</t>
  </si>
  <si>
    <t xml:space="preserve">Losse dagen</t>
  </si>
  <si>
    <t xml:space="preserve">Milde plaspil naast creatine, die het omgekeerde doet. Bewaar voor dagen waarop je er strak uit wilt zien. Levert wel kalium, magnesium en vitamine C, die zijn in dit schema toch al ruim gedekt.</t>
  </si>
  <si>
    <t xml:space="preserve">Gejodeerd keukenzout</t>
  </si>
  <si>
    <t xml:space="preserve">Gebruik het gewoon</t>
  </si>
  <si>
    <t xml:space="preserve">Bij het koken</t>
  </si>
  <si>
    <t xml:space="preserve">Jodium zit in dit schema goed dankzij zuivel, vis en de multi. Kook je met zeezout of Himalayazout in plaats van gejodeerd zout, dan valt jodium wel ~40% terug.</t>
  </si>
  <si>
    <t xml:space="preserve">DAGEN DIE EXTRA AANDACHT VRAGEN</t>
  </si>
  <si>
    <t xml:space="preserve">Alles wat hier niet staat, zit die dag boven de referentie-inname. Vitamine D staat er niet bij: die is elke dag te laag en wordt door het vaste protocol hierboven afgedekt.</t>
  </si>
  <si>
    <t xml:space="preserve">Wat is te laag</t>
  </si>
  <si>
    <t xml:space="preserve">Makkelijkste oplossing die dag</t>
  </si>
  <si>
    <t xml:space="preserve">Vit K (mcg) 84%</t>
  </si>
  <si>
    <t xml:space="preserve">100 g broccoli of spinazie bij het diner. Vitamine K zit vrijwel alleen in donkergroene bladgroente.</t>
  </si>
  <si>
    <t xml:space="preserve">Vit A (mcg) 87%, Vit K (mcg) 85%</t>
  </si>
  <si>
    <t xml:space="preserve">Voeg 150 g gekookte wortel of 100 g spinazie toe aan het diner. Dat is ~1.300 mcg vitamine A en lost het in een keer op. Een halve zoete aardappel doet hetzelfde.</t>
  </si>
  <si>
    <t xml:space="preserve">Vit A (mcg) 85%</t>
  </si>
  <si>
    <t xml:space="preserve">Vit K (mcg) 91%</t>
  </si>
  <si>
    <t xml:space="preserve">Vit E (mg) 88%, Vezel (g) 98%</t>
  </si>
  <si>
    <t xml:space="preserve">Een handje amandelen (25 g) of een extra eetlepel olijfolie.</t>
  </si>
  <si>
    <t xml:space="preserve">Vit E (mg) 97%</t>
  </si>
  <si>
    <t xml:space="preserve">Vezel (g) 95%</t>
  </si>
  <si>
    <t xml:space="preserve">Vervang wit brood of witte rijst door de volkoren variant, of voeg 100 g bonen toe.</t>
  </si>
  <si>
    <t xml:space="preserve">Vit K (mcg) 93%</t>
  </si>
  <si>
    <t xml:space="preserve">Vit K (mcg) 73%</t>
  </si>
  <si>
    <t xml:space="preserve">Vit K (mcg) 98%, Vezel (g) 97%</t>
  </si>
  <si>
    <t xml:space="preserve">Vit A (mcg) 97%</t>
  </si>
  <si>
    <t xml:space="preserve">Vit K (mcg) 76%</t>
  </si>
  <si>
    <t xml:space="preserve">Vezel (g) 98%</t>
  </si>
  <si>
    <t xml:space="preserve">B1 (mg) 83%, Vezel (g) 92%</t>
  </si>
  <si>
    <t xml:space="preserve">Vervang de witte rijst in het aanvulblok door zilvervliesrijst, of neem 40 g havermout extra.</t>
  </si>
  <si>
    <t xml:space="preserve">Week</t>
  </si>
  <si>
    <t xml:space="preserve">Dagen</t>
  </si>
  <si>
    <t xml:space="preserve">Totaal</t>
  </si>
  <si>
    <t xml:space="preserve">Eenheid</t>
  </si>
  <si>
    <t xml:space="preserve">Opmerking</t>
  </si>
  <si>
    <t xml:space="preserve">1-7</t>
  </si>
  <si>
    <t xml:space="preserve">Red Bull</t>
  </si>
  <si>
    <t xml:space="preserve">blikjes</t>
  </si>
  <si>
    <t xml:space="preserve">g</t>
  </si>
  <si>
    <t xml:space="preserve">droog product</t>
  </si>
  <si>
    <t xml:space="preserve">kg</t>
  </si>
  <si>
    <t xml:space="preserve">basmatirijst</t>
  </si>
  <si>
    <t xml:space="preserve">ongekookt inkoopgewicht</t>
  </si>
  <si>
    <t xml:space="preserve">biefstuk</t>
  </si>
  <si>
    <t xml:space="preserve">rauw inkoopgewicht</t>
  </si>
  <si>
    <t xml:space="preserve">broccoli</t>
  </si>
  <si>
    <t xml:space="preserve">champignons</t>
  </si>
  <si>
    <t xml:space="preserve">couscous</t>
  </si>
  <si>
    <t xml:space="preserve">eieren</t>
  </si>
  <si>
    <t xml:space="preserve">stuks</t>
  </si>
  <si>
    <t xml:space="preserve">gerekend op 55 g per ei zonder schaal</t>
  </si>
  <si>
    <t xml:space="preserve">liter</t>
  </si>
  <si>
    <t xml:space="preserve">kipdrumstick</t>
  </si>
  <si>
    <t xml:space="preserve">kipfilet</t>
  </si>
  <si>
    <t xml:space="preserve">paprika rood</t>
  </si>
  <si>
    <t xml:space="preserve">pasta</t>
  </si>
  <si>
    <t xml:space="preserve">quinoa</t>
  </si>
  <si>
    <t xml:space="preserve">rundergehakt 5%</t>
  </si>
  <si>
    <t xml:space="preserve">runderschnitzel</t>
  </si>
  <si>
    <t xml:space="preserve">sperziebonen</t>
  </si>
  <si>
    <t xml:space="preserve">ui</t>
  </si>
  <si>
    <t xml:space="preserve">witte rijst</t>
  </si>
  <si>
    <t xml:space="preserve">wortel</t>
  </si>
  <si>
    <t xml:space="preserve">einde week 1</t>
  </si>
  <si>
    <t xml:space="preserve">8-14</t>
  </si>
  <si>
    <t xml:space="preserve">noedels</t>
  </si>
  <si>
    <t xml:space="preserve">rundergehakt 15%</t>
  </si>
  <si>
    <t xml:space="preserve">runderreepjes roerbak</t>
  </si>
  <si>
    <t xml:space="preserve">shoarmavlees</t>
  </si>
  <si>
    <t xml:space="preserve">spinazie</t>
  </si>
  <si>
    <t xml:space="preserve">zoete aardappel</t>
  </si>
  <si>
    <t xml:space="preserve">zwarte bonen (blik)</t>
  </si>
  <si>
    <t xml:space="preserve">einde week 2</t>
  </si>
  <si>
    <t xml:space="preserve">15-21</t>
  </si>
  <si>
    <t xml:space="preserve">courgette</t>
  </si>
  <si>
    <t xml:space="preserve">edamame</t>
  </si>
  <si>
    <t xml:space="preserve">garnalen</t>
  </si>
  <si>
    <t xml:space="preserve">kabeljauw/witvis</t>
  </si>
  <si>
    <t xml:space="preserve">parelgort</t>
  </si>
  <si>
    <t xml:space="preserve">tagliatelle</t>
  </si>
  <si>
    <t xml:space="preserve">verse tonijnsteak</t>
  </si>
  <si>
    <t xml:space="preserve">vissticks</t>
  </si>
  <si>
    <t xml:space="preserve">zalmfilet</t>
  </si>
  <si>
    <t xml:space="preserve">einde week 3</t>
  </si>
  <si>
    <t xml:space="preserve">22-28</t>
  </si>
  <si>
    <t xml:space="preserve">asperges</t>
  </si>
  <si>
    <t xml:space="preserve">bloemkool</t>
  </si>
  <si>
    <t xml:space="preserve">doperwten</t>
  </si>
  <si>
    <t xml:space="preserve">eendenborst m. vel</t>
  </si>
  <si>
    <t xml:space="preserve">linzen</t>
  </si>
  <si>
    <t xml:space="preserve">einde week 4</t>
  </si>
  <si>
    <t xml:space="preserve">29-35</t>
  </si>
  <si>
    <t xml:space="preserve">zilvervliesrijst</t>
  </si>
  <si>
    <t xml:space="preserve">einde week 5</t>
  </si>
  <si>
    <t xml:space="preserve">36-42</t>
  </si>
  <si>
    <t xml:space="preserve">aardappel</t>
  </si>
  <si>
    <t xml:space="preserve">einde week 6</t>
  </si>
  <si>
    <t xml:space="preserve">43-49</t>
  </si>
  <si>
    <t xml:space="preserve">einde week 7</t>
  </si>
  <si>
    <t xml:space="preserve">50-56</t>
  </si>
  <si>
    <t xml:space="preserve">kipdij zonder vel</t>
  </si>
  <si>
    <t xml:space="preserve">einde week 8</t>
  </si>
  <si>
    <t xml:space="preserve">57-60</t>
  </si>
  <si>
    <t xml:space="preserve">einde week 9</t>
  </si>
</sst>
</file>

<file path=xl/styles.xml><?xml version="1.0" encoding="utf-8"?>
<styleSheet xmlns="http://schemas.openxmlformats.org/spreadsheetml/2006/main">
  <numFmts count="5">
    <numFmt numFmtId="164" formatCode="General"/>
    <numFmt numFmtId="165" formatCode="#,##0"/>
    <numFmt numFmtId="166" formatCode="0.0"/>
    <numFmt numFmtId="167" formatCode="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1"/>
      <name val="Arial"/>
      <family val="0"/>
      <charset val="1"/>
    </font>
    <font>
      <sz val="10"/>
      <name val="Arial"/>
      <family val="0"/>
      <charset val="1"/>
    </font>
    <font>
      <b val="true"/>
      <sz val="10"/>
      <name val="Arial"/>
      <family val="0"/>
      <charset val="1"/>
    </font>
    <font>
      <b val="true"/>
      <sz val="10"/>
      <color rgb="FFFFFFFF"/>
      <name val="Arial"/>
      <family val="0"/>
      <charset val="1"/>
    </font>
    <font>
      <b val="true"/>
      <sz val="14"/>
      <name val="Arial"/>
      <family val="0"/>
      <charset val="1"/>
    </font>
  </fonts>
  <fills count="7">
    <fill>
      <patternFill patternType="none"/>
    </fill>
    <fill>
      <patternFill patternType="gray125"/>
    </fill>
    <fill>
      <patternFill patternType="solid">
        <fgColor rgb="FFD9E2F3"/>
        <bgColor rgb="FFE2EFDA"/>
      </patternFill>
    </fill>
    <fill>
      <patternFill patternType="solid">
        <fgColor rgb="FF1F3864"/>
        <bgColor rgb="FF333333"/>
      </patternFill>
    </fill>
    <fill>
      <patternFill patternType="solid">
        <fgColor rgb="FFE2EFDA"/>
        <bgColor rgb="FFD9E2F3"/>
      </patternFill>
    </fill>
    <fill>
      <patternFill patternType="solid">
        <fgColor rgb="FFFFF2CC"/>
        <bgColor rgb="FFFCE4E4"/>
      </patternFill>
    </fill>
    <fill>
      <patternFill patternType="solid">
        <fgColor rgb="FFFCE4E4"/>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6" fontId="6" fillId="0" borderId="1" xfId="0" applyFont="true" applyBorder="true" applyAlignment="true" applyProtection="false">
      <alignment horizontal="general" vertical="center" textRotation="0" wrapText="false" indent="0" shrinkToFit="false"/>
      <protection locked="true" hidden="false"/>
    </xf>
    <xf numFmtId="164" fontId="6" fillId="4"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6" fillId="5" borderId="1" xfId="0" applyFont="true" applyBorder="true" applyAlignment="true" applyProtection="false">
      <alignment horizontal="general" vertical="center" textRotation="0" wrapText="false" indent="0" shrinkToFit="false"/>
      <protection locked="true" hidden="false"/>
    </xf>
    <xf numFmtId="165" fontId="7" fillId="5" borderId="1" xfId="0" applyFont="true" applyBorder="tru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general" vertical="center" textRotation="0" wrapText="false" indent="0" shrinkToFit="false"/>
      <protection locked="true" hidden="false"/>
    </xf>
    <xf numFmtId="165" fontId="7" fillId="2" borderId="1" xfId="0" applyFont="true" applyBorder="true" applyAlignment="true" applyProtection="false">
      <alignment horizontal="general" vertical="center" textRotation="0" wrapText="false" indent="0" shrinkToFit="false"/>
      <protection locked="true" hidden="false"/>
    </xf>
    <xf numFmtId="166" fontId="7" fillId="2" borderId="1" xfId="0" applyFont="true" applyBorder="true" applyAlignment="true" applyProtection="false">
      <alignment horizontal="general" vertical="center" textRotation="0" wrapText="false" indent="0" shrinkToFit="false"/>
      <protection locked="true" hidden="false"/>
    </xf>
    <xf numFmtId="167" fontId="6" fillId="0" borderId="1" xfId="0" applyFont="true" applyBorder="true" applyAlignment="true" applyProtection="false">
      <alignment horizontal="general" vertical="center" textRotation="0" wrapText="false" indent="0" shrinkToFit="false"/>
      <protection locked="true" hidden="false"/>
    </xf>
    <xf numFmtId="167" fontId="6" fillId="6" borderId="1" xfId="0" applyFont="true" applyBorder="true" applyAlignment="true" applyProtection="false">
      <alignment horizontal="general" vertical="center" textRotation="0" wrapText="false" indent="0" shrinkToFit="false"/>
      <protection locked="true" hidden="false"/>
    </xf>
    <xf numFmtId="167" fontId="6" fillId="5" borderId="1" xfId="0" applyFont="true" applyBorder="true" applyAlignment="true" applyProtection="false">
      <alignment horizontal="general" vertical="center" textRotation="0" wrapText="false" indent="0" shrinkToFit="false"/>
      <protection locked="true" hidden="false"/>
    </xf>
    <xf numFmtId="167" fontId="7" fillId="2"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6" fillId="6" borderId="1" xfId="0" applyFont="true" applyBorder="true" applyAlignment="true" applyProtection="false">
      <alignment horizontal="general" vertical="center" textRotation="0" wrapText="true" indent="0" shrinkToFit="false"/>
      <protection locked="true" hidden="false"/>
    </xf>
    <xf numFmtId="168" fontId="6"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6"/>
  </cols>
  <sheetData>
    <row r="2" customFormat="false" ht="19.7" hidden="false" customHeight="false" outlineLevel="0" collapsed="false">
      <c r="B2" s="1" t="s">
        <v>0</v>
      </c>
    </row>
    <row r="4" customFormat="false" ht="15" hidden="false" customHeight="false" outlineLevel="0" collapsed="false">
      <c r="B4" s="2" t="s">
        <v>1</v>
      </c>
      <c r="C4" s="3"/>
    </row>
    <row r="5" customFormat="false" ht="15" hidden="false" customHeight="true" outlineLevel="0" collapsed="false">
      <c r="B5" s="4" t="s">
        <v>2</v>
      </c>
      <c r="C5" s="5" t="s">
        <v>3</v>
      </c>
    </row>
    <row r="6" customFormat="false" ht="15" hidden="false" customHeight="true" outlineLevel="0" collapsed="false">
      <c r="B6" s="4" t="s">
        <v>4</v>
      </c>
      <c r="C6" s="5" t="s">
        <v>5</v>
      </c>
    </row>
    <row r="7" customFormat="false" ht="15" hidden="false" customHeight="true" outlineLevel="0" collapsed="false">
      <c r="B7" s="4" t="s">
        <v>6</v>
      </c>
      <c r="C7" s="5" t="s">
        <v>7</v>
      </c>
    </row>
    <row r="8" customFormat="false" ht="15" hidden="false" customHeight="true" outlineLevel="0" collapsed="false">
      <c r="B8" s="4" t="s">
        <v>8</v>
      </c>
      <c r="C8" s="5" t="s">
        <v>9</v>
      </c>
    </row>
    <row r="9" customFormat="false" ht="25.5" hidden="false" customHeight="true" outlineLevel="0" collapsed="false">
      <c r="B9" s="4" t="s">
        <v>10</v>
      </c>
      <c r="C9" s="5" t="s">
        <v>11</v>
      </c>
    </row>
    <row r="10" customFormat="false" ht="25.5" hidden="false" customHeight="true" outlineLevel="0" collapsed="false">
      <c r="B10" s="4" t="s">
        <v>12</v>
      </c>
      <c r="C10" s="5" t="s">
        <v>13</v>
      </c>
    </row>
    <row r="12" customFormat="false" ht="15" hidden="false" customHeight="false" outlineLevel="0" collapsed="false">
      <c r="B12" s="2" t="s">
        <v>14</v>
      </c>
      <c r="C12" s="3"/>
    </row>
    <row r="13" customFormat="false" ht="64.5" hidden="false" customHeight="true" outlineLevel="0" collapsed="false">
      <c r="B13" s="4"/>
      <c r="C13" s="5" t="s">
        <v>15</v>
      </c>
    </row>
    <row r="15" customFormat="false" ht="15" hidden="false" customHeight="false" outlineLevel="0" collapsed="false">
      <c r="B15" s="2" t="s">
        <v>16</v>
      </c>
      <c r="C15" s="3"/>
    </row>
    <row r="16" customFormat="false" ht="51.75" hidden="false" customHeight="true" outlineLevel="0" collapsed="false">
      <c r="B16" s="4" t="s">
        <v>17</v>
      </c>
      <c r="C16" s="5" t="s">
        <v>18</v>
      </c>
    </row>
    <row r="17" customFormat="false" ht="39" hidden="false" customHeight="true" outlineLevel="0" collapsed="false">
      <c r="B17" s="4" t="s">
        <v>19</v>
      </c>
      <c r="C17" s="5" t="s">
        <v>20</v>
      </c>
    </row>
    <row r="19" customFormat="false" ht="15" hidden="false" customHeight="false" outlineLevel="0" collapsed="false">
      <c r="B19" s="2" t="s">
        <v>21</v>
      </c>
      <c r="C19" s="3"/>
    </row>
    <row r="20" customFormat="false" ht="64.5" hidden="false" customHeight="true" outlineLevel="0" collapsed="false">
      <c r="B20" s="4" t="s">
        <v>22</v>
      </c>
      <c r="C20" s="5" t="s">
        <v>23</v>
      </c>
    </row>
    <row r="21" customFormat="false" ht="103.5" hidden="false" customHeight="true" outlineLevel="0" collapsed="false">
      <c r="B21" s="4" t="s">
        <v>24</v>
      </c>
      <c r="C21" s="5" t="s">
        <v>25</v>
      </c>
    </row>
    <row r="22" customFormat="false" ht="64.5" hidden="false" customHeight="true" outlineLevel="0" collapsed="false">
      <c r="B22" s="4" t="s">
        <v>26</v>
      </c>
      <c r="C22" s="5" t="s">
        <v>27</v>
      </c>
    </row>
    <row r="24" customFormat="false" ht="15" hidden="false" customHeight="false" outlineLevel="0" collapsed="false">
      <c r="B24" s="2" t="s">
        <v>28</v>
      </c>
      <c r="C24" s="3"/>
    </row>
    <row r="25" customFormat="false" ht="39" hidden="false" customHeight="true" outlineLevel="0" collapsed="false">
      <c r="B25" s="4" t="s">
        <v>29</v>
      </c>
      <c r="C25" s="5" t="s">
        <v>30</v>
      </c>
    </row>
    <row r="26" customFormat="false" ht="64.5" hidden="false" customHeight="true" outlineLevel="0" collapsed="false">
      <c r="B26" s="4" t="s">
        <v>31</v>
      </c>
      <c r="C26" s="5" t="s">
        <v>32</v>
      </c>
    </row>
    <row r="28" customFormat="false" ht="15" hidden="false" customHeight="false" outlineLevel="0" collapsed="false">
      <c r="B28" s="2" t="s">
        <v>33</v>
      </c>
      <c r="C28" s="3"/>
    </row>
    <row r="29" customFormat="false" ht="25.5" hidden="false" customHeight="true" outlineLevel="0" collapsed="false">
      <c r="B29" s="4" t="s">
        <v>34</v>
      </c>
      <c r="C29" s="5" t="s">
        <v>35</v>
      </c>
    </row>
    <row r="30" customFormat="false" ht="39" hidden="false" customHeight="true" outlineLevel="0" collapsed="false">
      <c r="B30" s="4" t="s">
        <v>36</v>
      </c>
      <c r="C30" s="5" t="s">
        <v>37</v>
      </c>
    </row>
    <row r="32" customFormat="false" ht="15" hidden="false" customHeight="false" outlineLevel="0" collapsed="false">
      <c r="B32" s="2" t="s">
        <v>38</v>
      </c>
      <c r="C32" s="3"/>
    </row>
    <row r="33" customFormat="false" ht="15" hidden="false" customHeight="true" outlineLevel="0" collapsed="false">
      <c r="B33" s="4" t="s">
        <v>39</v>
      </c>
      <c r="C33" s="5" t="s">
        <v>40</v>
      </c>
    </row>
    <row r="34" customFormat="false" ht="25.5" hidden="false" customHeight="true" outlineLevel="0" collapsed="false">
      <c r="B34" s="4" t="s">
        <v>41</v>
      </c>
      <c r="C34" s="5" t="s">
        <v>42</v>
      </c>
    </row>
    <row r="35" customFormat="false" ht="25.5" hidden="false" customHeight="true" outlineLevel="0" collapsed="false">
      <c r="B35" s="4" t="s">
        <v>43</v>
      </c>
      <c r="C35" s="5" t="s">
        <v>44</v>
      </c>
    </row>
    <row r="36" customFormat="false" ht="25.5" hidden="false" customHeight="true" outlineLevel="0" collapsed="false">
      <c r="B36" s="4" t="s">
        <v>45</v>
      </c>
      <c r="C36" s="5" t="s">
        <v>46</v>
      </c>
    </row>
    <row r="37" customFormat="false" ht="15" hidden="false" customHeight="true" outlineLevel="0" collapsed="false">
      <c r="B37" s="4" t="s">
        <v>47</v>
      </c>
      <c r="C37" s="5" t="s">
        <v>48</v>
      </c>
    </row>
    <row r="38" customFormat="false" ht="15" hidden="false" customHeight="true" outlineLevel="0" collapsed="false">
      <c r="B38" s="4" t="s">
        <v>49</v>
      </c>
      <c r="C38" s="5" t="s">
        <v>50</v>
      </c>
    </row>
    <row r="40" customFormat="false" ht="15" hidden="false" customHeight="false" outlineLevel="0" collapsed="false">
      <c r="B40" s="2" t="s">
        <v>51</v>
      </c>
      <c r="C40" s="3"/>
    </row>
    <row r="41" customFormat="false" ht="64.5" hidden="false" customHeight="true" outlineLevel="0" collapsed="false">
      <c r="B41" s="4"/>
      <c r="C41" s="5"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9"/>
    <col collapsed="false" customWidth="true" hidden="false" outlineLevel="0" max="4" min="4" style="0" width="30"/>
    <col collapsed="false" customWidth="true" hidden="false" outlineLevel="0" max="5" min="5" style="0" width="22"/>
    <col collapsed="false" customWidth="true" hidden="false" outlineLevel="0" max="6" min="6" style="0" width="32"/>
    <col collapsed="false" customWidth="true" hidden="false" outlineLevel="0" max="7" min="7" style="0" width="24"/>
    <col collapsed="false" customWidth="true" hidden="false" outlineLevel="0" max="8" min="8" style="0" width="34"/>
    <col collapsed="false" customWidth="true" hidden="false" outlineLevel="0" max="9" min="9" style="0" width="28"/>
    <col collapsed="false" customWidth="true" hidden="false" outlineLevel="0" max="10" min="10" style="0" width="34"/>
    <col collapsed="false" customWidth="true" hidden="false" outlineLevel="0" max="11" min="11" style="0" width="8"/>
    <col collapsed="false" customWidth="true" hidden="false" outlineLevel="0" max="12" min="12" style="0" width="10"/>
    <col collapsed="false" customWidth="true" hidden="false" outlineLevel="0" max="14" min="13" style="0" width="9"/>
    <col collapsed="false" customWidth="true" hidden="false" outlineLevel="0" max="15" min="15" style="0" width="10"/>
  </cols>
  <sheetData>
    <row r="1" customFormat="false" ht="15" hidden="false" customHeight="false" outlineLevel="0" collapsed="false">
      <c r="A1" s="6" t="s">
        <v>53</v>
      </c>
      <c r="B1" s="6" t="s">
        <v>54</v>
      </c>
      <c r="C1" s="6" t="s">
        <v>55</v>
      </c>
      <c r="D1" s="6" t="s">
        <v>56</v>
      </c>
      <c r="E1" s="6" t="s">
        <v>57</v>
      </c>
      <c r="F1" s="6" t="s">
        <v>58</v>
      </c>
      <c r="G1" s="6" t="s">
        <v>59</v>
      </c>
      <c r="H1" s="6" t="s">
        <v>60</v>
      </c>
      <c r="I1" s="6" t="s">
        <v>61</v>
      </c>
      <c r="J1" s="6" t="s">
        <v>62</v>
      </c>
      <c r="K1" s="6" t="s">
        <v>63</v>
      </c>
      <c r="L1" s="6" t="s">
        <v>64</v>
      </c>
      <c r="M1" s="6" t="s">
        <v>65</v>
      </c>
      <c r="N1" s="6" t="s">
        <v>66</v>
      </c>
      <c r="O1" s="6" t="s">
        <v>67</v>
      </c>
    </row>
    <row r="2" customFormat="false" ht="30" hidden="false" customHeight="true" outlineLevel="0" collapsed="false">
      <c r="A2" s="7" t="n">
        <v>1</v>
      </c>
      <c r="B2" s="8" t="s">
        <v>68</v>
      </c>
      <c r="C2" s="8" t="s">
        <v>69</v>
      </c>
      <c r="D2" s="5" t="s">
        <v>70</v>
      </c>
      <c r="E2" s="5" t="s">
        <v>71</v>
      </c>
      <c r="F2" s="5" t="s">
        <v>72</v>
      </c>
      <c r="G2" s="5" t="s">
        <v>71</v>
      </c>
      <c r="H2" s="5" t="s">
        <v>73</v>
      </c>
      <c r="I2" s="5" t="s">
        <v>74</v>
      </c>
      <c r="J2" s="5" t="s">
        <v>75</v>
      </c>
      <c r="K2" s="9" t="n">
        <v>3991</v>
      </c>
      <c r="L2" s="10" t="n">
        <v>207.9</v>
      </c>
      <c r="M2" s="10" t="n">
        <v>92.1</v>
      </c>
      <c r="N2" s="10" t="n">
        <v>578.9</v>
      </c>
      <c r="O2" s="10" t="n">
        <v>42.4</v>
      </c>
    </row>
    <row r="3" customFormat="false" ht="30" hidden="false" customHeight="true" outlineLevel="0" collapsed="false">
      <c r="A3" s="7" t="n">
        <v>2</v>
      </c>
      <c r="B3" s="8" t="s">
        <v>76</v>
      </c>
      <c r="C3" s="11" t="s">
        <v>77</v>
      </c>
      <c r="D3" s="5" t="s">
        <v>78</v>
      </c>
      <c r="E3" s="5" t="s">
        <v>79</v>
      </c>
      <c r="F3" s="5" t="s">
        <v>80</v>
      </c>
      <c r="G3" s="5" t="s">
        <v>81</v>
      </c>
      <c r="H3" s="5" t="s">
        <v>82</v>
      </c>
      <c r="I3" s="5" t="s">
        <v>83</v>
      </c>
      <c r="J3" s="5" t="s">
        <v>71</v>
      </c>
      <c r="K3" s="9" t="n">
        <v>3961</v>
      </c>
      <c r="L3" s="10" t="n">
        <v>222.1</v>
      </c>
      <c r="M3" s="10" t="n">
        <v>81.4</v>
      </c>
      <c r="N3" s="10" t="n">
        <v>591</v>
      </c>
      <c r="O3" s="10" t="n">
        <v>56.7</v>
      </c>
    </row>
    <row r="4" customFormat="false" ht="30" hidden="false" customHeight="true" outlineLevel="0" collapsed="false">
      <c r="A4" s="7" t="n">
        <v>3</v>
      </c>
      <c r="B4" s="8" t="s">
        <v>84</v>
      </c>
      <c r="C4" s="11" t="s">
        <v>77</v>
      </c>
      <c r="D4" s="5" t="s">
        <v>85</v>
      </c>
      <c r="E4" s="5" t="s">
        <v>79</v>
      </c>
      <c r="F4" s="5" t="s">
        <v>86</v>
      </c>
      <c r="G4" s="5" t="s">
        <v>87</v>
      </c>
      <c r="H4" s="5" t="s">
        <v>88</v>
      </c>
      <c r="I4" s="5" t="s">
        <v>89</v>
      </c>
      <c r="J4" s="5" t="s">
        <v>90</v>
      </c>
      <c r="K4" s="9" t="n">
        <v>4135</v>
      </c>
      <c r="L4" s="10" t="n">
        <v>226.7</v>
      </c>
      <c r="M4" s="10" t="n">
        <v>109.6</v>
      </c>
      <c r="N4" s="10" t="n">
        <v>573.3</v>
      </c>
      <c r="O4" s="10" t="n">
        <v>47.1</v>
      </c>
    </row>
    <row r="5" customFormat="false" ht="30" hidden="false" customHeight="true" outlineLevel="0" collapsed="false">
      <c r="A5" s="7" t="n">
        <v>4</v>
      </c>
      <c r="B5" s="8" t="s">
        <v>91</v>
      </c>
      <c r="C5" s="11" t="s">
        <v>77</v>
      </c>
      <c r="D5" s="5" t="s">
        <v>70</v>
      </c>
      <c r="E5" s="5" t="s">
        <v>79</v>
      </c>
      <c r="F5" s="5" t="s">
        <v>92</v>
      </c>
      <c r="G5" s="5" t="s">
        <v>93</v>
      </c>
      <c r="H5" s="5" t="s">
        <v>94</v>
      </c>
      <c r="I5" s="5" t="s">
        <v>95</v>
      </c>
      <c r="J5" s="5" t="s">
        <v>96</v>
      </c>
      <c r="K5" s="9" t="n">
        <v>4079</v>
      </c>
      <c r="L5" s="10" t="n">
        <v>216.4</v>
      </c>
      <c r="M5" s="10" t="n">
        <v>78.5</v>
      </c>
      <c r="N5" s="10" t="n">
        <v>629.8</v>
      </c>
      <c r="O5" s="10" t="n">
        <v>49.9</v>
      </c>
    </row>
    <row r="6" customFormat="false" ht="30" hidden="false" customHeight="true" outlineLevel="0" collapsed="false">
      <c r="A6" s="7" t="n">
        <v>5</v>
      </c>
      <c r="B6" s="8" t="s">
        <v>97</v>
      </c>
      <c r="C6" s="8" t="s">
        <v>69</v>
      </c>
      <c r="D6" s="5" t="s">
        <v>78</v>
      </c>
      <c r="E6" s="5" t="s">
        <v>71</v>
      </c>
      <c r="F6" s="5" t="s">
        <v>98</v>
      </c>
      <c r="G6" s="5" t="s">
        <v>71</v>
      </c>
      <c r="H6" s="5" t="s">
        <v>99</v>
      </c>
      <c r="I6" s="5" t="s">
        <v>100</v>
      </c>
      <c r="J6" s="5" t="s">
        <v>101</v>
      </c>
      <c r="K6" s="9" t="n">
        <v>3827</v>
      </c>
      <c r="L6" s="10" t="n">
        <v>191.6</v>
      </c>
      <c r="M6" s="10" t="n">
        <v>111.3</v>
      </c>
      <c r="N6" s="10" t="n">
        <v>498</v>
      </c>
      <c r="O6" s="10" t="n">
        <v>43.9</v>
      </c>
    </row>
    <row r="7" customFormat="false" ht="30" hidden="false" customHeight="true" outlineLevel="0" collapsed="false">
      <c r="A7" s="7" t="n">
        <v>6</v>
      </c>
      <c r="B7" s="8" t="s">
        <v>102</v>
      </c>
      <c r="C7" s="11" t="s">
        <v>77</v>
      </c>
      <c r="D7" s="5" t="s">
        <v>85</v>
      </c>
      <c r="E7" s="5" t="s">
        <v>79</v>
      </c>
      <c r="F7" s="5" t="s">
        <v>103</v>
      </c>
      <c r="G7" s="5" t="s">
        <v>87</v>
      </c>
      <c r="H7" s="5" t="s">
        <v>104</v>
      </c>
      <c r="I7" s="5" t="s">
        <v>105</v>
      </c>
      <c r="J7" s="5" t="s">
        <v>106</v>
      </c>
      <c r="K7" s="9" t="n">
        <v>3974</v>
      </c>
      <c r="L7" s="10" t="n">
        <v>201.6</v>
      </c>
      <c r="M7" s="10" t="n">
        <v>97.5</v>
      </c>
      <c r="N7" s="10" t="n">
        <v>583.5</v>
      </c>
      <c r="O7" s="10" t="n">
        <v>60.2</v>
      </c>
    </row>
    <row r="8" customFormat="false" ht="30" hidden="false" customHeight="true" outlineLevel="0" collapsed="false">
      <c r="A8" s="7" t="n">
        <v>7</v>
      </c>
      <c r="B8" s="8" t="s">
        <v>107</v>
      </c>
      <c r="C8" s="11" t="s">
        <v>77</v>
      </c>
      <c r="D8" s="5" t="s">
        <v>70</v>
      </c>
      <c r="E8" s="5" t="s">
        <v>79</v>
      </c>
      <c r="F8" s="5" t="s">
        <v>108</v>
      </c>
      <c r="G8" s="5" t="s">
        <v>93</v>
      </c>
      <c r="H8" s="5" t="s">
        <v>109</v>
      </c>
      <c r="I8" s="5" t="s">
        <v>74</v>
      </c>
      <c r="J8" s="5" t="s">
        <v>110</v>
      </c>
      <c r="K8" s="9" t="n">
        <v>4154</v>
      </c>
      <c r="L8" s="10" t="n">
        <v>205.1</v>
      </c>
      <c r="M8" s="10" t="n">
        <v>110.1</v>
      </c>
      <c r="N8" s="10" t="n">
        <v>580.8</v>
      </c>
      <c r="O8" s="10" t="n">
        <v>47.5</v>
      </c>
    </row>
    <row r="9" customFormat="false" ht="30" hidden="false" customHeight="true" outlineLevel="0" collapsed="false">
      <c r="A9" s="7" t="n">
        <v>8</v>
      </c>
      <c r="B9" s="8" t="s">
        <v>68</v>
      </c>
      <c r="C9" s="8" t="s">
        <v>69</v>
      </c>
      <c r="D9" s="5" t="s">
        <v>78</v>
      </c>
      <c r="E9" s="5" t="s">
        <v>71</v>
      </c>
      <c r="F9" s="5" t="s">
        <v>111</v>
      </c>
      <c r="G9" s="5" t="s">
        <v>71</v>
      </c>
      <c r="H9" s="5" t="s">
        <v>112</v>
      </c>
      <c r="I9" s="5" t="s">
        <v>83</v>
      </c>
      <c r="J9" s="5" t="s">
        <v>113</v>
      </c>
      <c r="K9" s="9" t="n">
        <v>3840</v>
      </c>
      <c r="L9" s="10" t="n">
        <v>204.5</v>
      </c>
      <c r="M9" s="10" t="n">
        <v>105.4</v>
      </c>
      <c r="N9" s="10" t="n">
        <v>515.8</v>
      </c>
      <c r="O9" s="10" t="n">
        <v>69.6</v>
      </c>
    </row>
    <row r="10" customFormat="false" ht="30" hidden="false" customHeight="true" outlineLevel="0" collapsed="false">
      <c r="A10" s="7" t="n">
        <v>9</v>
      </c>
      <c r="B10" s="8" t="s">
        <v>76</v>
      </c>
      <c r="C10" s="11" t="s">
        <v>77</v>
      </c>
      <c r="D10" s="5" t="s">
        <v>85</v>
      </c>
      <c r="E10" s="5" t="s">
        <v>79</v>
      </c>
      <c r="F10" s="5" t="s">
        <v>114</v>
      </c>
      <c r="G10" s="5" t="s">
        <v>87</v>
      </c>
      <c r="H10" s="5" t="s">
        <v>115</v>
      </c>
      <c r="I10" s="5" t="s">
        <v>89</v>
      </c>
      <c r="J10" s="5" t="s">
        <v>116</v>
      </c>
      <c r="K10" s="9" t="n">
        <v>4149</v>
      </c>
      <c r="L10" s="10" t="n">
        <v>220.2</v>
      </c>
      <c r="M10" s="10" t="n">
        <v>109.7</v>
      </c>
      <c r="N10" s="10" t="n">
        <v>575</v>
      </c>
      <c r="O10" s="10" t="n">
        <v>52.7</v>
      </c>
    </row>
    <row r="11" customFormat="false" ht="30" hidden="false" customHeight="true" outlineLevel="0" collapsed="false">
      <c r="A11" s="7" t="n">
        <v>10</v>
      </c>
      <c r="B11" s="8" t="s">
        <v>84</v>
      </c>
      <c r="C11" s="11" t="s">
        <v>77</v>
      </c>
      <c r="D11" s="5" t="s">
        <v>70</v>
      </c>
      <c r="E11" s="5" t="s">
        <v>79</v>
      </c>
      <c r="F11" s="5" t="s">
        <v>117</v>
      </c>
      <c r="G11" s="5" t="s">
        <v>93</v>
      </c>
      <c r="H11" s="5" t="s">
        <v>118</v>
      </c>
      <c r="I11" s="5" t="s">
        <v>95</v>
      </c>
      <c r="J11" s="5" t="s">
        <v>119</v>
      </c>
      <c r="K11" s="9" t="n">
        <v>3991</v>
      </c>
      <c r="L11" s="10" t="n">
        <v>227.3</v>
      </c>
      <c r="M11" s="10" t="n">
        <v>77.6</v>
      </c>
      <c r="N11" s="10" t="n">
        <v>591.2</v>
      </c>
      <c r="O11" s="10" t="n">
        <v>39.2</v>
      </c>
    </row>
    <row r="12" customFormat="false" ht="30" hidden="false" customHeight="true" outlineLevel="0" collapsed="false">
      <c r="A12" s="7" t="n">
        <v>11</v>
      </c>
      <c r="B12" s="8" t="s">
        <v>91</v>
      </c>
      <c r="C12" s="11" t="s">
        <v>77</v>
      </c>
      <c r="D12" s="5" t="s">
        <v>78</v>
      </c>
      <c r="E12" s="5" t="s">
        <v>79</v>
      </c>
      <c r="F12" s="5" t="s">
        <v>120</v>
      </c>
      <c r="G12" s="5" t="s">
        <v>81</v>
      </c>
      <c r="H12" s="5" t="s">
        <v>121</v>
      </c>
      <c r="I12" s="5" t="s">
        <v>100</v>
      </c>
      <c r="J12" s="5" t="s">
        <v>71</v>
      </c>
      <c r="K12" s="9" t="n">
        <v>4139</v>
      </c>
      <c r="L12" s="10" t="n">
        <v>180.6</v>
      </c>
      <c r="M12" s="10" t="n">
        <v>112.3</v>
      </c>
      <c r="N12" s="10" t="n">
        <v>603.8</v>
      </c>
      <c r="O12" s="10" t="n">
        <v>60.6</v>
      </c>
    </row>
    <row r="13" customFormat="false" ht="30" hidden="false" customHeight="true" outlineLevel="0" collapsed="false">
      <c r="A13" s="7" t="n">
        <v>12</v>
      </c>
      <c r="B13" s="8" t="s">
        <v>97</v>
      </c>
      <c r="C13" s="8" t="s">
        <v>69</v>
      </c>
      <c r="D13" s="5" t="s">
        <v>85</v>
      </c>
      <c r="E13" s="5" t="s">
        <v>71</v>
      </c>
      <c r="F13" s="5" t="s">
        <v>122</v>
      </c>
      <c r="G13" s="5" t="s">
        <v>71</v>
      </c>
      <c r="H13" s="5" t="s">
        <v>123</v>
      </c>
      <c r="I13" s="5" t="s">
        <v>105</v>
      </c>
      <c r="J13" s="5" t="s">
        <v>124</v>
      </c>
      <c r="K13" s="9" t="n">
        <v>3899</v>
      </c>
      <c r="L13" s="10" t="n">
        <v>231</v>
      </c>
      <c r="M13" s="10" t="n">
        <v>79.5</v>
      </c>
      <c r="N13" s="10" t="n">
        <v>555.9</v>
      </c>
      <c r="O13" s="10" t="n">
        <v>67.7</v>
      </c>
    </row>
    <row r="14" customFormat="false" ht="30" hidden="false" customHeight="true" outlineLevel="0" collapsed="false">
      <c r="A14" s="7" t="n">
        <v>13</v>
      </c>
      <c r="B14" s="8" t="s">
        <v>102</v>
      </c>
      <c r="C14" s="11" t="s">
        <v>77</v>
      </c>
      <c r="D14" s="5" t="s">
        <v>70</v>
      </c>
      <c r="E14" s="5" t="s">
        <v>79</v>
      </c>
      <c r="F14" s="5" t="s">
        <v>125</v>
      </c>
      <c r="G14" s="5" t="s">
        <v>93</v>
      </c>
      <c r="H14" s="5" t="s">
        <v>126</v>
      </c>
      <c r="I14" s="5" t="s">
        <v>74</v>
      </c>
      <c r="J14" s="5" t="s">
        <v>127</v>
      </c>
      <c r="K14" s="9" t="n">
        <v>4149</v>
      </c>
      <c r="L14" s="10" t="n">
        <v>205.5</v>
      </c>
      <c r="M14" s="10" t="n">
        <v>111.5</v>
      </c>
      <c r="N14" s="10" t="n">
        <v>587.4</v>
      </c>
      <c r="O14" s="10" t="n">
        <v>53.1</v>
      </c>
    </row>
    <row r="15" customFormat="false" ht="30" hidden="false" customHeight="true" outlineLevel="0" collapsed="false">
      <c r="A15" s="7" t="n">
        <v>14</v>
      </c>
      <c r="B15" s="8" t="s">
        <v>107</v>
      </c>
      <c r="C15" s="11" t="s">
        <v>77</v>
      </c>
      <c r="D15" s="5" t="s">
        <v>78</v>
      </c>
      <c r="E15" s="5" t="s">
        <v>79</v>
      </c>
      <c r="F15" s="5" t="s">
        <v>128</v>
      </c>
      <c r="G15" s="5" t="s">
        <v>81</v>
      </c>
      <c r="H15" s="5" t="s">
        <v>129</v>
      </c>
      <c r="I15" s="5" t="s">
        <v>83</v>
      </c>
      <c r="J15" s="5" t="s">
        <v>130</v>
      </c>
      <c r="K15" s="9" t="n">
        <v>3947</v>
      </c>
      <c r="L15" s="10" t="n">
        <v>207.5</v>
      </c>
      <c r="M15" s="10" t="n">
        <v>90.6</v>
      </c>
      <c r="N15" s="10" t="n">
        <v>581.2</v>
      </c>
      <c r="O15" s="10" t="n">
        <v>56.5</v>
      </c>
    </row>
    <row r="16" customFormat="false" ht="30" hidden="false" customHeight="true" outlineLevel="0" collapsed="false">
      <c r="A16" s="7" t="n">
        <v>15</v>
      </c>
      <c r="B16" s="8" t="s">
        <v>68</v>
      </c>
      <c r="C16" s="8" t="s">
        <v>69</v>
      </c>
      <c r="D16" s="5" t="s">
        <v>85</v>
      </c>
      <c r="E16" s="5" t="s">
        <v>71</v>
      </c>
      <c r="F16" s="5" t="s">
        <v>131</v>
      </c>
      <c r="G16" s="5" t="s">
        <v>71</v>
      </c>
      <c r="H16" s="5" t="s">
        <v>132</v>
      </c>
      <c r="I16" s="5" t="s">
        <v>89</v>
      </c>
      <c r="J16" s="5" t="s">
        <v>133</v>
      </c>
      <c r="K16" s="9" t="n">
        <v>4019</v>
      </c>
      <c r="L16" s="10" t="n">
        <v>180.2</v>
      </c>
      <c r="M16" s="10" t="n">
        <v>108.6</v>
      </c>
      <c r="N16" s="10" t="n">
        <v>585.6</v>
      </c>
      <c r="O16" s="10" t="n">
        <v>38</v>
      </c>
    </row>
    <row r="17" customFormat="false" ht="30" hidden="false" customHeight="true" outlineLevel="0" collapsed="false">
      <c r="A17" s="7" t="n">
        <v>16</v>
      </c>
      <c r="B17" s="8" t="s">
        <v>76</v>
      </c>
      <c r="C17" s="11" t="s">
        <v>77</v>
      </c>
      <c r="D17" s="5" t="s">
        <v>70</v>
      </c>
      <c r="E17" s="5" t="s">
        <v>79</v>
      </c>
      <c r="F17" s="5" t="s">
        <v>134</v>
      </c>
      <c r="G17" s="5" t="s">
        <v>93</v>
      </c>
      <c r="H17" s="5" t="s">
        <v>135</v>
      </c>
      <c r="I17" s="5" t="s">
        <v>95</v>
      </c>
      <c r="J17" s="5" t="s">
        <v>136</v>
      </c>
      <c r="K17" s="9" t="n">
        <v>3944</v>
      </c>
      <c r="L17" s="10" t="n">
        <v>208.4</v>
      </c>
      <c r="M17" s="10" t="n">
        <v>90.7</v>
      </c>
      <c r="N17" s="10" t="n">
        <v>590.2</v>
      </c>
      <c r="O17" s="10" t="n">
        <v>57.8</v>
      </c>
    </row>
    <row r="18" customFormat="false" ht="30" hidden="false" customHeight="true" outlineLevel="0" collapsed="false">
      <c r="A18" s="7" t="n">
        <v>17</v>
      </c>
      <c r="B18" s="8" t="s">
        <v>84</v>
      </c>
      <c r="C18" s="11" t="s">
        <v>77</v>
      </c>
      <c r="D18" s="5" t="s">
        <v>78</v>
      </c>
      <c r="E18" s="5" t="s">
        <v>79</v>
      </c>
      <c r="F18" s="5" t="s">
        <v>137</v>
      </c>
      <c r="G18" s="5" t="s">
        <v>81</v>
      </c>
      <c r="H18" s="5" t="s">
        <v>138</v>
      </c>
      <c r="I18" s="5" t="s">
        <v>100</v>
      </c>
      <c r="J18" s="5" t="s">
        <v>139</v>
      </c>
      <c r="K18" s="9" t="n">
        <v>4112</v>
      </c>
      <c r="L18" s="10" t="n">
        <v>209.1</v>
      </c>
      <c r="M18" s="10" t="n">
        <v>107.9</v>
      </c>
      <c r="N18" s="10" t="n">
        <v>579.7</v>
      </c>
      <c r="O18" s="10" t="n">
        <v>49.9</v>
      </c>
    </row>
    <row r="19" customFormat="false" ht="30" hidden="false" customHeight="true" outlineLevel="0" collapsed="false">
      <c r="A19" s="7" t="n">
        <v>18</v>
      </c>
      <c r="B19" s="8" t="s">
        <v>91</v>
      </c>
      <c r="C19" s="11" t="s">
        <v>77</v>
      </c>
      <c r="D19" s="5" t="s">
        <v>85</v>
      </c>
      <c r="E19" s="5" t="s">
        <v>79</v>
      </c>
      <c r="F19" s="5" t="s">
        <v>140</v>
      </c>
      <c r="G19" s="5" t="s">
        <v>87</v>
      </c>
      <c r="H19" s="5" t="s">
        <v>141</v>
      </c>
      <c r="I19" s="5" t="s">
        <v>105</v>
      </c>
      <c r="J19" s="5" t="s">
        <v>96</v>
      </c>
      <c r="K19" s="9" t="n">
        <v>3998</v>
      </c>
      <c r="L19" s="10" t="n">
        <v>218.5</v>
      </c>
      <c r="M19" s="10" t="n">
        <v>82.2</v>
      </c>
      <c r="N19" s="10" t="n">
        <v>607.3</v>
      </c>
      <c r="O19" s="10" t="n">
        <v>47.3</v>
      </c>
    </row>
    <row r="20" customFormat="false" ht="30" hidden="false" customHeight="true" outlineLevel="0" collapsed="false">
      <c r="A20" s="7" t="n">
        <v>19</v>
      </c>
      <c r="B20" s="8" t="s">
        <v>97</v>
      </c>
      <c r="C20" s="8" t="s">
        <v>69</v>
      </c>
      <c r="D20" s="5" t="s">
        <v>70</v>
      </c>
      <c r="E20" s="5" t="s">
        <v>71</v>
      </c>
      <c r="F20" s="5" t="s">
        <v>142</v>
      </c>
      <c r="G20" s="5" t="s">
        <v>71</v>
      </c>
      <c r="H20" s="5" t="s">
        <v>143</v>
      </c>
      <c r="I20" s="5" t="s">
        <v>74</v>
      </c>
      <c r="J20" s="5" t="s">
        <v>144</v>
      </c>
      <c r="K20" s="9" t="n">
        <v>3873</v>
      </c>
      <c r="L20" s="10" t="n">
        <v>180.2</v>
      </c>
      <c r="M20" s="10" t="n">
        <v>93.2</v>
      </c>
      <c r="N20" s="10" t="n">
        <v>585.5</v>
      </c>
      <c r="O20" s="10" t="n">
        <v>54.2</v>
      </c>
    </row>
    <row r="21" customFormat="false" ht="30" hidden="false" customHeight="true" outlineLevel="0" collapsed="false">
      <c r="A21" s="7" t="n">
        <v>20</v>
      </c>
      <c r="B21" s="8" t="s">
        <v>102</v>
      </c>
      <c r="C21" s="11" t="s">
        <v>77</v>
      </c>
      <c r="D21" s="5" t="s">
        <v>78</v>
      </c>
      <c r="E21" s="5" t="s">
        <v>79</v>
      </c>
      <c r="F21" s="5" t="s">
        <v>145</v>
      </c>
      <c r="G21" s="5" t="s">
        <v>81</v>
      </c>
      <c r="H21" s="5" t="s">
        <v>146</v>
      </c>
      <c r="I21" s="5" t="s">
        <v>83</v>
      </c>
      <c r="J21" s="5" t="s">
        <v>147</v>
      </c>
      <c r="K21" s="9" t="n">
        <v>3951</v>
      </c>
      <c r="L21" s="10" t="n">
        <v>216.2</v>
      </c>
      <c r="M21" s="10" t="n">
        <v>87</v>
      </c>
      <c r="N21" s="10" t="n">
        <v>581.5</v>
      </c>
      <c r="O21" s="10" t="n">
        <v>54.3</v>
      </c>
    </row>
    <row r="22" customFormat="false" ht="30" hidden="false" customHeight="true" outlineLevel="0" collapsed="false">
      <c r="A22" s="7" t="n">
        <v>21</v>
      </c>
      <c r="B22" s="8" t="s">
        <v>107</v>
      </c>
      <c r="C22" s="11" t="s">
        <v>77</v>
      </c>
      <c r="D22" s="5" t="s">
        <v>85</v>
      </c>
      <c r="E22" s="5" t="s">
        <v>79</v>
      </c>
      <c r="F22" s="5" t="s">
        <v>148</v>
      </c>
      <c r="G22" s="5" t="s">
        <v>87</v>
      </c>
      <c r="H22" s="5" t="s">
        <v>149</v>
      </c>
      <c r="I22" s="5" t="s">
        <v>89</v>
      </c>
      <c r="J22" s="5" t="s">
        <v>150</v>
      </c>
      <c r="K22" s="9" t="n">
        <v>4108</v>
      </c>
      <c r="L22" s="10" t="n">
        <v>214</v>
      </c>
      <c r="M22" s="10" t="n">
        <v>110.9</v>
      </c>
      <c r="N22" s="10" t="n">
        <v>577.1</v>
      </c>
      <c r="O22" s="10" t="n">
        <v>42.2</v>
      </c>
    </row>
    <row r="23" customFormat="false" ht="30" hidden="false" customHeight="true" outlineLevel="0" collapsed="false">
      <c r="A23" s="7" t="n">
        <v>22</v>
      </c>
      <c r="B23" s="8" t="s">
        <v>68</v>
      </c>
      <c r="C23" s="8" t="s">
        <v>69</v>
      </c>
      <c r="D23" s="5" t="s">
        <v>70</v>
      </c>
      <c r="E23" s="5" t="s">
        <v>71</v>
      </c>
      <c r="F23" s="5" t="s">
        <v>151</v>
      </c>
      <c r="G23" s="5" t="s">
        <v>71</v>
      </c>
      <c r="H23" s="5" t="s">
        <v>152</v>
      </c>
      <c r="I23" s="5" t="s">
        <v>95</v>
      </c>
      <c r="J23" s="5" t="s">
        <v>153</v>
      </c>
      <c r="K23" s="9" t="n">
        <v>3868</v>
      </c>
      <c r="L23" s="10" t="n">
        <v>194.1</v>
      </c>
      <c r="M23" s="10" t="n">
        <v>113.6</v>
      </c>
      <c r="N23" s="10" t="n">
        <v>497.6</v>
      </c>
      <c r="O23" s="10" t="n">
        <v>79</v>
      </c>
    </row>
    <row r="24" customFormat="false" ht="30" hidden="false" customHeight="true" outlineLevel="0" collapsed="false">
      <c r="A24" s="7" t="n">
        <v>23</v>
      </c>
      <c r="B24" s="8" t="s">
        <v>76</v>
      </c>
      <c r="C24" s="11" t="s">
        <v>77</v>
      </c>
      <c r="D24" s="5" t="s">
        <v>78</v>
      </c>
      <c r="E24" s="5" t="s">
        <v>79</v>
      </c>
      <c r="F24" s="5" t="s">
        <v>154</v>
      </c>
      <c r="G24" s="5" t="s">
        <v>81</v>
      </c>
      <c r="H24" s="5" t="s">
        <v>155</v>
      </c>
      <c r="I24" s="5" t="s">
        <v>100</v>
      </c>
      <c r="J24" s="5" t="s">
        <v>156</v>
      </c>
      <c r="K24" s="9" t="n">
        <v>4154</v>
      </c>
      <c r="L24" s="10" t="n">
        <v>192.6</v>
      </c>
      <c r="M24" s="10" t="n">
        <v>118.7</v>
      </c>
      <c r="N24" s="10" t="n">
        <v>582.7</v>
      </c>
      <c r="O24" s="10" t="n">
        <v>88.7</v>
      </c>
    </row>
    <row r="25" customFormat="false" ht="30" hidden="false" customHeight="true" outlineLevel="0" collapsed="false">
      <c r="A25" s="7" t="n">
        <v>24</v>
      </c>
      <c r="B25" s="8" t="s">
        <v>84</v>
      </c>
      <c r="C25" s="11" t="s">
        <v>77</v>
      </c>
      <c r="D25" s="5" t="s">
        <v>85</v>
      </c>
      <c r="E25" s="5" t="s">
        <v>79</v>
      </c>
      <c r="F25" s="5" t="s">
        <v>157</v>
      </c>
      <c r="G25" s="5" t="s">
        <v>87</v>
      </c>
      <c r="H25" s="5" t="s">
        <v>158</v>
      </c>
      <c r="I25" s="5" t="s">
        <v>105</v>
      </c>
      <c r="J25" s="5" t="s">
        <v>159</v>
      </c>
      <c r="K25" s="9" t="n">
        <v>3934</v>
      </c>
      <c r="L25" s="10" t="n">
        <v>211.3</v>
      </c>
      <c r="M25" s="10" t="n">
        <v>92</v>
      </c>
      <c r="N25" s="10" t="n">
        <v>581.2</v>
      </c>
      <c r="O25" s="10" t="n">
        <v>59.4</v>
      </c>
    </row>
    <row r="26" customFormat="false" ht="30" hidden="false" customHeight="true" outlineLevel="0" collapsed="false">
      <c r="A26" s="7" t="n">
        <v>25</v>
      </c>
      <c r="B26" s="8" t="s">
        <v>91</v>
      </c>
      <c r="C26" s="11" t="s">
        <v>77</v>
      </c>
      <c r="D26" s="5" t="s">
        <v>70</v>
      </c>
      <c r="E26" s="5" t="s">
        <v>79</v>
      </c>
      <c r="F26" s="5" t="s">
        <v>160</v>
      </c>
      <c r="G26" s="5" t="s">
        <v>93</v>
      </c>
      <c r="H26" s="5" t="s">
        <v>161</v>
      </c>
      <c r="I26" s="5" t="s">
        <v>74</v>
      </c>
      <c r="J26" s="5" t="s">
        <v>162</v>
      </c>
      <c r="K26" s="9" t="n">
        <v>4151</v>
      </c>
      <c r="L26" s="10" t="n">
        <v>212.4</v>
      </c>
      <c r="M26" s="10" t="n">
        <v>107.5</v>
      </c>
      <c r="N26" s="10" t="n">
        <v>579.2</v>
      </c>
      <c r="O26" s="10" t="n">
        <v>46.1</v>
      </c>
    </row>
    <row r="27" customFormat="false" ht="30" hidden="false" customHeight="true" outlineLevel="0" collapsed="false">
      <c r="A27" s="7" t="n">
        <v>26</v>
      </c>
      <c r="B27" s="8" t="s">
        <v>97</v>
      </c>
      <c r="C27" s="8" t="s">
        <v>69</v>
      </c>
      <c r="D27" s="5" t="s">
        <v>78</v>
      </c>
      <c r="E27" s="5" t="s">
        <v>71</v>
      </c>
      <c r="F27" s="5" t="s">
        <v>163</v>
      </c>
      <c r="G27" s="5" t="s">
        <v>71</v>
      </c>
      <c r="H27" s="5" t="s">
        <v>164</v>
      </c>
      <c r="I27" s="5" t="s">
        <v>83</v>
      </c>
      <c r="J27" s="5" t="s">
        <v>165</v>
      </c>
      <c r="K27" s="9" t="n">
        <v>3794</v>
      </c>
      <c r="L27" s="10" t="n">
        <v>206.2</v>
      </c>
      <c r="M27" s="10" t="n">
        <v>101.7</v>
      </c>
      <c r="N27" s="10" t="n">
        <v>516</v>
      </c>
      <c r="O27" s="10" t="n">
        <v>80.9</v>
      </c>
    </row>
    <row r="28" customFormat="false" ht="30" hidden="false" customHeight="true" outlineLevel="0" collapsed="false">
      <c r="A28" s="7" t="n">
        <v>27</v>
      </c>
      <c r="B28" s="8" t="s">
        <v>102</v>
      </c>
      <c r="C28" s="11" t="s">
        <v>77</v>
      </c>
      <c r="D28" s="5" t="s">
        <v>85</v>
      </c>
      <c r="E28" s="5" t="s">
        <v>79</v>
      </c>
      <c r="F28" s="5" t="s">
        <v>166</v>
      </c>
      <c r="G28" s="5" t="s">
        <v>87</v>
      </c>
      <c r="H28" s="5" t="s">
        <v>167</v>
      </c>
      <c r="I28" s="5" t="s">
        <v>89</v>
      </c>
      <c r="J28" s="5" t="s">
        <v>168</v>
      </c>
      <c r="K28" s="9" t="n">
        <v>4058</v>
      </c>
      <c r="L28" s="10" t="n">
        <v>193.7</v>
      </c>
      <c r="M28" s="10" t="n">
        <v>109</v>
      </c>
      <c r="N28" s="10" t="n">
        <v>582.6</v>
      </c>
      <c r="O28" s="10" t="n">
        <v>48.8</v>
      </c>
    </row>
    <row r="29" customFormat="false" ht="30" hidden="false" customHeight="true" outlineLevel="0" collapsed="false">
      <c r="A29" s="7" t="n">
        <v>28</v>
      </c>
      <c r="B29" s="8" t="s">
        <v>107</v>
      </c>
      <c r="C29" s="11" t="s">
        <v>77</v>
      </c>
      <c r="D29" s="5" t="s">
        <v>70</v>
      </c>
      <c r="E29" s="5" t="s">
        <v>79</v>
      </c>
      <c r="F29" s="5" t="s">
        <v>169</v>
      </c>
      <c r="G29" s="5" t="s">
        <v>93</v>
      </c>
      <c r="H29" s="5" t="s">
        <v>170</v>
      </c>
      <c r="I29" s="5" t="s">
        <v>95</v>
      </c>
      <c r="J29" s="5" t="s">
        <v>171</v>
      </c>
      <c r="K29" s="9" t="n">
        <v>4039</v>
      </c>
      <c r="L29" s="10" t="n">
        <v>203.8</v>
      </c>
      <c r="M29" s="10" t="n">
        <v>92.6</v>
      </c>
      <c r="N29" s="10" t="n">
        <v>602.9</v>
      </c>
      <c r="O29" s="10" t="n">
        <v>49.2</v>
      </c>
    </row>
    <row r="30" customFormat="false" ht="30" hidden="false" customHeight="true" outlineLevel="0" collapsed="false">
      <c r="A30" s="7" t="n">
        <v>29</v>
      </c>
      <c r="B30" s="8" t="s">
        <v>68</v>
      </c>
      <c r="C30" s="8" t="s">
        <v>69</v>
      </c>
      <c r="D30" s="5" t="s">
        <v>78</v>
      </c>
      <c r="E30" s="5" t="s">
        <v>71</v>
      </c>
      <c r="F30" s="5" t="s">
        <v>172</v>
      </c>
      <c r="G30" s="5" t="s">
        <v>71</v>
      </c>
      <c r="H30" s="5" t="s">
        <v>173</v>
      </c>
      <c r="I30" s="5" t="s">
        <v>100</v>
      </c>
      <c r="J30" s="5" t="s">
        <v>174</v>
      </c>
      <c r="K30" s="9" t="n">
        <v>3909</v>
      </c>
      <c r="L30" s="10" t="n">
        <v>185.9</v>
      </c>
      <c r="M30" s="10" t="n">
        <v>111</v>
      </c>
      <c r="N30" s="10" t="n">
        <v>542.4</v>
      </c>
      <c r="O30" s="10" t="n">
        <v>55.5</v>
      </c>
    </row>
    <row r="31" customFormat="false" ht="30" hidden="false" customHeight="true" outlineLevel="0" collapsed="false">
      <c r="A31" s="7" t="n">
        <v>30</v>
      </c>
      <c r="B31" s="8" t="s">
        <v>76</v>
      </c>
      <c r="C31" s="11" t="s">
        <v>77</v>
      </c>
      <c r="D31" s="5" t="s">
        <v>85</v>
      </c>
      <c r="E31" s="5" t="s">
        <v>79</v>
      </c>
      <c r="F31" s="5" t="s">
        <v>175</v>
      </c>
      <c r="G31" s="5" t="s">
        <v>87</v>
      </c>
      <c r="H31" s="5" t="s">
        <v>176</v>
      </c>
      <c r="I31" s="5" t="s">
        <v>105</v>
      </c>
      <c r="J31" s="5" t="s">
        <v>177</v>
      </c>
      <c r="K31" s="9" t="n">
        <v>4049</v>
      </c>
      <c r="L31" s="10" t="n">
        <v>187.1</v>
      </c>
      <c r="M31" s="10" t="n">
        <v>103.1</v>
      </c>
      <c r="N31" s="10" t="n">
        <v>596.9</v>
      </c>
      <c r="O31" s="10" t="n">
        <v>51</v>
      </c>
    </row>
    <row r="32" customFormat="false" ht="30" hidden="false" customHeight="true" outlineLevel="0" collapsed="false">
      <c r="A32" s="7" t="n">
        <v>31</v>
      </c>
      <c r="B32" s="8" t="s">
        <v>84</v>
      </c>
      <c r="C32" s="11" t="s">
        <v>77</v>
      </c>
      <c r="D32" s="5" t="s">
        <v>70</v>
      </c>
      <c r="E32" s="5" t="s">
        <v>79</v>
      </c>
      <c r="F32" s="5" t="s">
        <v>72</v>
      </c>
      <c r="G32" s="5" t="s">
        <v>93</v>
      </c>
      <c r="H32" s="5" t="s">
        <v>178</v>
      </c>
      <c r="I32" s="5" t="s">
        <v>74</v>
      </c>
      <c r="J32" s="5" t="s">
        <v>179</v>
      </c>
      <c r="K32" s="9" t="n">
        <v>4241</v>
      </c>
      <c r="L32" s="10" t="n">
        <v>218.2</v>
      </c>
      <c r="M32" s="10" t="n">
        <v>110.6</v>
      </c>
      <c r="N32" s="10" t="n">
        <v>599.2</v>
      </c>
      <c r="O32" s="10" t="n">
        <v>40.2</v>
      </c>
    </row>
    <row r="33" customFormat="false" ht="30" hidden="false" customHeight="true" outlineLevel="0" collapsed="false">
      <c r="A33" s="7" t="n">
        <v>32</v>
      </c>
      <c r="B33" s="8" t="s">
        <v>91</v>
      </c>
      <c r="C33" s="11" t="s">
        <v>77</v>
      </c>
      <c r="D33" s="5" t="s">
        <v>78</v>
      </c>
      <c r="E33" s="5" t="s">
        <v>79</v>
      </c>
      <c r="F33" s="5" t="s">
        <v>80</v>
      </c>
      <c r="G33" s="5" t="s">
        <v>81</v>
      </c>
      <c r="H33" s="5" t="s">
        <v>180</v>
      </c>
      <c r="I33" s="5" t="s">
        <v>83</v>
      </c>
      <c r="J33" s="5" t="s">
        <v>181</v>
      </c>
      <c r="K33" s="9" t="n">
        <v>3940</v>
      </c>
      <c r="L33" s="10" t="n">
        <v>220.3</v>
      </c>
      <c r="M33" s="10" t="n">
        <v>84.6</v>
      </c>
      <c r="N33" s="10" t="n">
        <v>581.5</v>
      </c>
      <c r="O33" s="10" t="n">
        <v>60.4</v>
      </c>
    </row>
    <row r="34" customFormat="false" ht="30" hidden="false" customHeight="true" outlineLevel="0" collapsed="false">
      <c r="A34" s="7" t="n">
        <v>33</v>
      </c>
      <c r="B34" s="8" t="s">
        <v>97</v>
      </c>
      <c r="C34" s="8" t="s">
        <v>69</v>
      </c>
      <c r="D34" s="5" t="s">
        <v>85</v>
      </c>
      <c r="E34" s="5" t="s">
        <v>71</v>
      </c>
      <c r="F34" s="5" t="s">
        <v>86</v>
      </c>
      <c r="G34" s="5" t="s">
        <v>71</v>
      </c>
      <c r="H34" s="5" t="s">
        <v>182</v>
      </c>
      <c r="I34" s="5" t="s">
        <v>89</v>
      </c>
      <c r="J34" s="5" t="s">
        <v>183</v>
      </c>
      <c r="K34" s="9" t="n">
        <v>4130</v>
      </c>
      <c r="L34" s="10" t="n">
        <v>207.9</v>
      </c>
      <c r="M34" s="10" t="n">
        <v>108.9</v>
      </c>
      <c r="N34" s="10" t="n">
        <v>577.5</v>
      </c>
      <c r="O34" s="10" t="n">
        <v>38.6</v>
      </c>
    </row>
    <row r="35" customFormat="false" ht="30" hidden="false" customHeight="true" outlineLevel="0" collapsed="false">
      <c r="A35" s="7" t="n">
        <v>34</v>
      </c>
      <c r="B35" s="8" t="s">
        <v>102</v>
      </c>
      <c r="C35" s="11" t="s">
        <v>77</v>
      </c>
      <c r="D35" s="5" t="s">
        <v>70</v>
      </c>
      <c r="E35" s="5" t="s">
        <v>79</v>
      </c>
      <c r="F35" s="5" t="s">
        <v>92</v>
      </c>
      <c r="G35" s="5" t="s">
        <v>93</v>
      </c>
      <c r="H35" s="5" t="s">
        <v>184</v>
      </c>
      <c r="I35" s="5" t="s">
        <v>95</v>
      </c>
      <c r="J35" s="5" t="s">
        <v>185</v>
      </c>
      <c r="K35" s="9" t="n">
        <v>3979</v>
      </c>
      <c r="L35" s="10" t="n">
        <v>220.2</v>
      </c>
      <c r="M35" s="10" t="n">
        <v>81</v>
      </c>
      <c r="N35" s="10" t="n">
        <v>596.2</v>
      </c>
      <c r="O35" s="10" t="n">
        <v>47.4</v>
      </c>
    </row>
    <row r="36" customFormat="false" ht="30" hidden="false" customHeight="true" outlineLevel="0" collapsed="false">
      <c r="A36" s="7" t="n">
        <v>35</v>
      </c>
      <c r="B36" s="8" t="s">
        <v>107</v>
      </c>
      <c r="C36" s="11" t="s">
        <v>77</v>
      </c>
      <c r="D36" s="5" t="s">
        <v>78</v>
      </c>
      <c r="E36" s="5" t="s">
        <v>79</v>
      </c>
      <c r="F36" s="5" t="s">
        <v>98</v>
      </c>
      <c r="G36" s="5" t="s">
        <v>81</v>
      </c>
      <c r="H36" s="5" t="s">
        <v>186</v>
      </c>
      <c r="I36" s="5" t="s">
        <v>100</v>
      </c>
      <c r="J36" s="5" t="s">
        <v>187</v>
      </c>
      <c r="K36" s="9" t="n">
        <v>4100</v>
      </c>
      <c r="L36" s="10" t="n">
        <v>191</v>
      </c>
      <c r="M36" s="10" t="n">
        <v>109</v>
      </c>
      <c r="N36" s="10" t="n">
        <v>582.1</v>
      </c>
      <c r="O36" s="10" t="n">
        <v>59</v>
      </c>
    </row>
    <row r="37" customFormat="false" ht="30" hidden="false" customHeight="true" outlineLevel="0" collapsed="false">
      <c r="A37" s="7" t="n">
        <v>36</v>
      </c>
      <c r="B37" s="8" t="s">
        <v>68</v>
      </c>
      <c r="C37" s="8" t="s">
        <v>69</v>
      </c>
      <c r="D37" s="5" t="s">
        <v>85</v>
      </c>
      <c r="E37" s="5" t="s">
        <v>71</v>
      </c>
      <c r="F37" s="5" t="s">
        <v>103</v>
      </c>
      <c r="G37" s="5" t="s">
        <v>71</v>
      </c>
      <c r="H37" s="5" t="s">
        <v>188</v>
      </c>
      <c r="I37" s="5" t="s">
        <v>105</v>
      </c>
      <c r="J37" s="5" t="s">
        <v>189</v>
      </c>
      <c r="K37" s="9" t="n">
        <v>3936</v>
      </c>
      <c r="L37" s="10" t="n">
        <v>209.7</v>
      </c>
      <c r="M37" s="10" t="n">
        <v>92.9</v>
      </c>
      <c r="N37" s="10" t="n">
        <v>557.9</v>
      </c>
      <c r="O37" s="10" t="n">
        <v>70</v>
      </c>
    </row>
    <row r="38" customFormat="false" ht="30" hidden="false" customHeight="true" outlineLevel="0" collapsed="false">
      <c r="A38" s="7" t="n">
        <v>37</v>
      </c>
      <c r="B38" s="8" t="s">
        <v>76</v>
      </c>
      <c r="C38" s="11" t="s">
        <v>77</v>
      </c>
      <c r="D38" s="5" t="s">
        <v>70</v>
      </c>
      <c r="E38" s="5" t="s">
        <v>79</v>
      </c>
      <c r="F38" s="5" t="s">
        <v>108</v>
      </c>
      <c r="G38" s="5" t="s">
        <v>93</v>
      </c>
      <c r="H38" s="5" t="s">
        <v>190</v>
      </c>
      <c r="I38" s="5" t="s">
        <v>74</v>
      </c>
      <c r="J38" s="5" t="s">
        <v>191</v>
      </c>
      <c r="K38" s="9" t="n">
        <v>4205</v>
      </c>
      <c r="L38" s="10" t="n">
        <v>222.3</v>
      </c>
      <c r="M38" s="10" t="n">
        <v>108.4</v>
      </c>
      <c r="N38" s="10" t="n">
        <v>577.7</v>
      </c>
      <c r="O38" s="10" t="n">
        <v>47.6</v>
      </c>
    </row>
    <row r="39" customFormat="false" ht="30" hidden="false" customHeight="true" outlineLevel="0" collapsed="false">
      <c r="A39" s="7" t="n">
        <v>38</v>
      </c>
      <c r="B39" s="8" t="s">
        <v>84</v>
      </c>
      <c r="C39" s="11" t="s">
        <v>77</v>
      </c>
      <c r="D39" s="5" t="s">
        <v>78</v>
      </c>
      <c r="E39" s="5" t="s">
        <v>79</v>
      </c>
      <c r="F39" s="5" t="s">
        <v>111</v>
      </c>
      <c r="G39" s="5" t="s">
        <v>81</v>
      </c>
      <c r="H39" s="5" t="s">
        <v>192</v>
      </c>
      <c r="I39" s="5" t="s">
        <v>83</v>
      </c>
      <c r="J39" s="5" t="s">
        <v>193</v>
      </c>
      <c r="K39" s="9" t="n">
        <v>3945</v>
      </c>
      <c r="L39" s="10" t="n">
        <v>211.3</v>
      </c>
      <c r="M39" s="10" t="n">
        <v>89.1</v>
      </c>
      <c r="N39" s="10" t="n">
        <v>581.3</v>
      </c>
      <c r="O39" s="10" t="n">
        <v>57.9</v>
      </c>
    </row>
    <row r="40" customFormat="false" ht="30" hidden="false" customHeight="true" outlineLevel="0" collapsed="false">
      <c r="A40" s="7" t="n">
        <v>39</v>
      </c>
      <c r="B40" s="8" t="s">
        <v>91</v>
      </c>
      <c r="C40" s="11" t="s">
        <v>77</v>
      </c>
      <c r="D40" s="5" t="s">
        <v>85</v>
      </c>
      <c r="E40" s="5" t="s">
        <v>79</v>
      </c>
      <c r="F40" s="5" t="s">
        <v>114</v>
      </c>
      <c r="G40" s="5" t="s">
        <v>87</v>
      </c>
      <c r="H40" s="5" t="s">
        <v>194</v>
      </c>
      <c r="I40" s="5" t="s">
        <v>89</v>
      </c>
      <c r="J40" s="5" t="s">
        <v>195</v>
      </c>
      <c r="K40" s="9" t="n">
        <v>4103</v>
      </c>
      <c r="L40" s="10" t="n">
        <v>208</v>
      </c>
      <c r="M40" s="10" t="n">
        <v>112.2</v>
      </c>
      <c r="N40" s="10" t="n">
        <v>578.2</v>
      </c>
      <c r="O40" s="10" t="n">
        <v>41.1</v>
      </c>
    </row>
    <row r="41" customFormat="false" ht="30" hidden="false" customHeight="true" outlineLevel="0" collapsed="false">
      <c r="A41" s="7" t="n">
        <v>40</v>
      </c>
      <c r="B41" s="8" t="s">
        <v>97</v>
      </c>
      <c r="C41" s="8" t="s">
        <v>69</v>
      </c>
      <c r="D41" s="5" t="s">
        <v>70</v>
      </c>
      <c r="E41" s="5" t="s">
        <v>71</v>
      </c>
      <c r="F41" s="5" t="s">
        <v>117</v>
      </c>
      <c r="G41" s="5" t="s">
        <v>71</v>
      </c>
      <c r="H41" s="5" t="s">
        <v>196</v>
      </c>
      <c r="I41" s="5" t="s">
        <v>95</v>
      </c>
      <c r="J41" s="5" t="s">
        <v>197</v>
      </c>
      <c r="K41" s="9" t="n">
        <v>3897</v>
      </c>
      <c r="L41" s="10" t="n">
        <v>213.5</v>
      </c>
      <c r="M41" s="10" t="n">
        <v>95.1</v>
      </c>
      <c r="N41" s="10" t="n">
        <v>537.9</v>
      </c>
      <c r="O41" s="10" t="n">
        <v>63.2</v>
      </c>
    </row>
    <row r="42" customFormat="false" ht="30" hidden="false" customHeight="true" outlineLevel="0" collapsed="false">
      <c r="A42" s="7" t="n">
        <v>41</v>
      </c>
      <c r="B42" s="8" t="s">
        <v>102</v>
      </c>
      <c r="C42" s="11" t="s">
        <v>77</v>
      </c>
      <c r="D42" s="5" t="s">
        <v>78</v>
      </c>
      <c r="E42" s="5" t="s">
        <v>79</v>
      </c>
      <c r="F42" s="5" t="s">
        <v>120</v>
      </c>
      <c r="G42" s="5" t="s">
        <v>81</v>
      </c>
      <c r="H42" s="5" t="s">
        <v>198</v>
      </c>
      <c r="I42" s="5" t="s">
        <v>100</v>
      </c>
      <c r="J42" s="5" t="s">
        <v>199</v>
      </c>
      <c r="K42" s="9" t="n">
        <v>4060</v>
      </c>
      <c r="L42" s="10" t="n">
        <v>184.9</v>
      </c>
      <c r="M42" s="10" t="n">
        <v>110.5</v>
      </c>
      <c r="N42" s="10" t="n">
        <v>584.1</v>
      </c>
      <c r="O42" s="10" t="n">
        <v>62.8</v>
      </c>
    </row>
    <row r="43" customFormat="false" ht="30" hidden="false" customHeight="true" outlineLevel="0" collapsed="false">
      <c r="A43" s="7" t="n">
        <v>42</v>
      </c>
      <c r="B43" s="8" t="s">
        <v>107</v>
      </c>
      <c r="C43" s="11" t="s">
        <v>77</v>
      </c>
      <c r="D43" s="5" t="s">
        <v>85</v>
      </c>
      <c r="E43" s="5" t="s">
        <v>79</v>
      </c>
      <c r="F43" s="5" t="s">
        <v>122</v>
      </c>
      <c r="G43" s="5" t="s">
        <v>87</v>
      </c>
      <c r="H43" s="5" t="s">
        <v>200</v>
      </c>
      <c r="I43" s="5" t="s">
        <v>105</v>
      </c>
      <c r="J43" s="5" t="s">
        <v>201</v>
      </c>
      <c r="K43" s="9" t="n">
        <v>3928</v>
      </c>
      <c r="L43" s="10" t="n">
        <v>231.5</v>
      </c>
      <c r="M43" s="10" t="n">
        <v>77.8</v>
      </c>
      <c r="N43" s="10" t="n">
        <v>580.2</v>
      </c>
      <c r="O43" s="10" t="n">
        <v>49.4</v>
      </c>
    </row>
    <row r="44" customFormat="false" ht="30" hidden="false" customHeight="true" outlineLevel="0" collapsed="false">
      <c r="A44" s="7" t="n">
        <v>43</v>
      </c>
      <c r="B44" s="8" t="s">
        <v>68</v>
      </c>
      <c r="C44" s="8" t="s">
        <v>69</v>
      </c>
      <c r="D44" s="5" t="s">
        <v>70</v>
      </c>
      <c r="E44" s="5" t="s">
        <v>71</v>
      </c>
      <c r="F44" s="5" t="s">
        <v>125</v>
      </c>
      <c r="G44" s="5" t="s">
        <v>71</v>
      </c>
      <c r="H44" s="5" t="s">
        <v>202</v>
      </c>
      <c r="I44" s="5" t="s">
        <v>74</v>
      </c>
      <c r="J44" s="5" t="s">
        <v>203</v>
      </c>
      <c r="K44" s="9" t="n">
        <v>4048</v>
      </c>
      <c r="L44" s="10" t="n">
        <v>185.7</v>
      </c>
      <c r="M44" s="10" t="n">
        <v>110.6</v>
      </c>
      <c r="N44" s="10" t="n">
        <v>583.5</v>
      </c>
      <c r="O44" s="10" t="n">
        <v>61.8</v>
      </c>
    </row>
    <row r="45" customFormat="false" ht="30" hidden="false" customHeight="true" outlineLevel="0" collapsed="false">
      <c r="A45" s="7" t="n">
        <v>44</v>
      </c>
      <c r="B45" s="8" t="s">
        <v>76</v>
      </c>
      <c r="C45" s="11" t="s">
        <v>77</v>
      </c>
      <c r="D45" s="5" t="s">
        <v>78</v>
      </c>
      <c r="E45" s="5" t="s">
        <v>79</v>
      </c>
      <c r="F45" s="5" t="s">
        <v>128</v>
      </c>
      <c r="G45" s="5" t="s">
        <v>81</v>
      </c>
      <c r="H45" s="5" t="s">
        <v>204</v>
      </c>
      <c r="I45" s="5" t="s">
        <v>83</v>
      </c>
      <c r="J45" s="5" t="s">
        <v>205</v>
      </c>
      <c r="K45" s="9" t="n">
        <v>3924</v>
      </c>
      <c r="L45" s="10" t="n">
        <v>207</v>
      </c>
      <c r="M45" s="10" t="n">
        <v>91</v>
      </c>
      <c r="N45" s="10" t="n">
        <v>581.7</v>
      </c>
      <c r="O45" s="10" t="n">
        <v>63.9</v>
      </c>
    </row>
    <row r="46" customFormat="false" ht="30" hidden="false" customHeight="true" outlineLevel="0" collapsed="false">
      <c r="A46" s="7" t="n">
        <v>45</v>
      </c>
      <c r="B46" s="8" t="s">
        <v>84</v>
      </c>
      <c r="C46" s="11" t="s">
        <v>77</v>
      </c>
      <c r="D46" s="5" t="s">
        <v>85</v>
      </c>
      <c r="E46" s="5" t="s">
        <v>79</v>
      </c>
      <c r="F46" s="5" t="s">
        <v>131</v>
      </c>
      <c r="G46" s="5" t="s">
        <v>87</v>
      </c>
      <c r="H46" s="5" t="s">
        <v>206</v>
      </c>
      <c r="I46" s="5" t="s">
        <v>89</v>
      </c>
      <c r="J46" s="5" t="s">
        <v>179</v>
      </c>
      <c r="K46" s="9" t="n">
        <v>4101</v>
      </c>
      <c r="L46" s="10" t="n">
        <v>204.4</v>
      </c>
      <c r="M46" s="10" t="n">
        <v>109.7</v>
      </c>
      <c r="N46" s="10" t="n">
        <v>594.5</v>
      </c>
      <c r="O46" s="10" t="n">
        <v>50.1</v>
      </c>
    </row>
    <row r="47" customFormat="false" ht="30" hidden="false" customHeight="true" outlineLevel="0" collapsed="false">
      <c r="A47" s="7" t="n">
        <v>46</v>
      </c>
      <c r="B47" s="8" t="s">
        <v>91</v>
      </c>
      <c r="C47" s="11" t="s">
        <v>77</v>
      </c>
      <c r="D47" s="5" t="s">
        <v>70</v>
      </c>
      <c r="E47" s="5" t="s">
        <v>79</v>
      </c>
      <c r="F47" s="5" t="s">
        <v>134</v>
      </c>
      <c r="G47" s="5" t="s">
        <v>93</v>
      </c>
      <c r="H47" s="5" t="s">
        <v>207</v>
      </c>
      <c r="I47" s="5" t="s">
        <v>95</v>
      </c>
      <c r="J47" s="5" t="s">
        <v>208</v>
      </c>
      <c r="K47" s="9" t="n">
        <v>3991</v>
      </c>
      <c r="L47" s="10" t="n">
        <v>220.9</v>
      </c>
      <c r="M47" s="10" t="n">
        <v>78.8</v>
      </c>
      <c r="N47" s="10" t="n">
        <v>603.8</v>
      </c>
      <c r="O47" s="10" t="n">
        <v>57.5</v>
      </c>
    </row>
    <row r="48" customFormat="false" ht="30" hidden="false" customHeight="true" outlineLevel="0" collapsed="false">
      <c r="A48" s="7" t="n">
        <v>47</v>
      </c>
      <c r="B48" s="8" t="s">
        <v>97</v>
      </c>
      <c r="C48" s="8" t="s">
        <v>69</v>
      </c>
      <c r="D48" s="5" t="s">
        <v>78</v>
      </c>
      <c r="E48" s="5" t="s">
        <v>71</v>
      </c>
      <c r="F48" s="5" t="s">
        <v>137</v>
      </c>
      <c r="G48" s="5" t="s">
        <v>71</v>
      </c>
      <c r="H48" s="5" t="s">
        <v>209</v>
      </c>
      <c r="I48" s="5" t="s">
        <v>100</v>
      </c>
      <c r="J48" s="5" t="s">
        <v>210</v>
      </c>
      <c r="K48" s="9" t="n">
        <v>4073</v>
      </c>
      <c r="L48" s="10" t="n">
        <v>180</v>
      </c>
      <c r="M48" s="10" t="n">
        <v>110.9</v>
      </c>
      <c r="N48" s="10" t="n">
        <v>585.3</v>
      </c>
      <c r="O48" s="10" t="n">
        <v>39.1</v>
      </c>
    </row>
    <row r="49" customFormat="false" ht="30" hidden="false" customHeight="true" outlineLevel="0" collapsed="false">
      <c r="A49" s="7" t="n">
        <v>48</v>
      </c>
      <c r="B49" s="8" t="s">
        <v>102</v>
      </c>
      <c r="C49" s="11" t="s">
        <v>77</v>
      </c>
      <c r="D49" s="5" t="s">
        <v>85</v>
      </c>
      <c r="E49" s="5" t="s">
        <v>79</v>
      </c>
      <c r="F49" s="5" t="s">
        <v>140</v>
      </c>
      <c r="G49" s="5" t="s">
        <v>87</v>
      </c>
      <c r="H49" s="5" t="s">
        <v>211</v>
      </c>
      <c r="I49" s="5" t="s">
        <v>105</v>
      </c>
      <c r="J49" s="5" t="s">
        <v>212</v>
      </c>
      <c r="K49" s="9" t="n">
        <v>3934</v>
      </c>
      <c r="L49" s="10" t="n">
        <v>216.8</v>
      </c>
      <c r="M49" s="10" t="n">
        <v>87.3</v>
      </c>
      <c r="N49" s="10" t="n">
        <v>581.5</v>
      </c>
      <c r="O49" s="10" t="n">
        <v>49.1</v>
      </c>
    </row>
    <row r="50" customFormat="false" ht="30" hidden="false" customHeight="true" outlineLevel="0" collapsed="false">
      <c r="A50" s="7" t="n">
        <v>49</v>
      </c>
      <c r="B50" s="8" t="s">
        <v>107</v>
      </c>
      <c r="C50" s="11" t="s">
        <v>77</v>
      </c>
      <c r="D50" s="5" t="s">
        <v>70</v>
      </c>
      <c r="E50" s="5" t="s">
        <v>79</v>
      </c>
      <c r="F50" s="5" t="s">
        <v>142</v>
      </c>
      <c r="G50" s="5" t="s">
        <v>93</v>
      </c>
      <c r="H50" s="5" t="s">
        <v>213</v>
      </c>
      <c r="I50" s="5" t="s">
        <v>74</v>
      </c>
      <c r="J50" s="5" t="s">
        <v>214</v>
      </c>
      <c r="K50" s="9" t="n">
        <v>4238</v>
      </c>
      <c r="L50" s="10" t="n">
        <v>228.8</v>
      </c>
      <c r="M50" s="10" t="n">
        <v>85.7</v>
      </c>
      <c r="N50" s="10" t="n">
        <v>642</v>
      </c>
      <c r="O50" s="10" t="n">
        <v>48.5</v>
      </c>
    </row>
    <row r="51" customFormat="false" ht="30" hidden="false" customHeight="true" outlineLevel="0" collapsed="false">
      <c r="A51" s="7" t="n">
        <v>50</v>
      </c>
      <c r="B51" s="8" t="s">
        <v>68</v>
      </c>
      <c r="C51" s="8" t="s">
        <v>69</v>
      </c>
      <c r="D51" s="5" t="s">
        <v>78</v>
      </c>
      <c r="E51" s="5" t="s">
        <v>71</v>
      </c>
      <c r="F51" s="5" t="s">
        <v>145</v>
      </c>
      <c r="G51" s="5" t="s">
        <v>71</v>
      </c>
      <c r="H51" s="5" t="s">
        <v>215</v>
      </c>
      <c r="I51" s="5" t="s">
        <v>83</v>
      </c>
      <c r="J51" s="5" t="s">
        <v>216</v>
      </c>
      <c r="K51" s="9" t="n">
        <v>3926</v>
      </c>
      <c r="L51" s="10" t="n">
        <v>188.3</v>
      </c>
      <c r="M51" s="10" t="n">
        <v>114.2</v>
      </c>
      <c r="N51" s="10" t="n">
        <v>529.7</v>
      </c>
      <c r="O51" s="10" t="n">
        <v>63</v>
      </c>
    </row>
    <row r="52" customFormat="false" ht="30" hidden="false" customHeight="true" outlineLevel="0" collapsed="false">
      <c r="A52" s="7" t="n">
        <v>51</v>
      </c>
      <c r="B52" s="8" t="s">
        <v>76</v>
      </c>
      <c r="C52" s="11" t="s">
        <v>77</v>
      </c>
      <c r="D52" s="5" t="s">
        <v>85</v>
      </c>
      <c r="E52" s="5" t="s">
        <v>79</v>
      </c>
      <c r="F52" s="5" t="s">
        <v>148</v>
      </c>
      <c r="G52" s="5" t="s">
        <v>87</v>
      </c>
      <c r="H52" s="5" t="s">
        <v>217</v>
      </c>
      <c r="I52" s="5" t="s">
        <v>89</v>
      </c>
      <c r="J52" s="5" t="s">
        <v>218</v>
      </c>
      <c r="K52" s="9" t="n">
        <v>4168</v>
      </c>
      <c r="L52" s="10" t="n">
        <v>228.6</v>
      </c>
      <c r="M52" s="10" t="n">
        <v>112.1</v>
      </c>
      <c r="N52" s="10" t="n">
        <v>576.7</v>
      </c>
      <c r="O52" s="10" t="n">
        <v>48.3</v>
      </c>
    </row>
    <row r="53" customFormat="false" ht="30" hidden="false" customHeight="true" outlineLevel="0" collapsed="false">
      <c r="A53" s="7" t="n">
        <v>52</v>
      </c>
      <c r="B53" s="8" t="s">
        <v>84</v>
      </c>
      <c r="C53" s="11" t="s">
        <v>77</v>
      </c>
      <c r="D53" s="5" t="s">
        <v>70</v>
      </c>
      <c r="E53" s="5" t="s">
        <v>79</v>
      </c>
      <c r="F53" s="5" t="s">
        <v>151</v>
      </c>
      <c r="G53" s="5" t="s">
        <v>93</v>
      </c>
      <c r="H53" s="5" t="s">
        <v>219</v>
      </c>
      <c r="I53" s="5" t="s">
        <v>95</v>
      </c>
      <c r="J53" s="5" t="s">
        <v>220</v>
      </c>
      <c r="K53" s="9" t="n">
        <v>3966</v>
      </c>
      <c r="L53" s="10" t="n">
        <v>212.2</v>
      </c>
      <c r="M53" s="10" t="n">
        <v>89</v>
      </c>
      <c r="N53" s="10" t="n">
        <v>581.1</v>
      </c>
      <c r="O53" s="10" t="n">
        <v>65.8</v>
      </c>
    </row>
    <row r="54" customFormat="false" ht="30" hidden="false" customHeight="true" outlineLevel="0" collapsed="false">
      <c r="A54" s="7" t="n">
        <v>53</v>
      </c>
      <c r="B54" s="8" t="s">
        <v>91</v>
      </c>
      <c r="C54" s="11" t="s">
        <v>77</v>
      </c>
      <c r="D54" s="5" t="s">
        <v>78</v>
      </c>
      <c r="E54" s="5" t="s">
        <v>79</v>
      </c>
      <c r="F54" s="5" t="s">
        <v>154</v>
      </c>
      <c r="G54" s="5" t="s">
        <v>81</v>
      </c>
      <c r="H54" s="5" t="s">
        <v>221</v>
      </c>
      <c r="I54" s="5" t="s">
        <v>100</v>
      </c>
      <c r="J54" s="5" t="s">
        <v>222</v>
      </c>
      <c r="K54" s="9" t="n">
        <v>4089</v>
      </c>
      <c r="L54" s="10" t="n">
        <v>190.6</v>
      </c>
      <c r="M54" s="10" t="n">
        <v>111.2</v>
      </c>
      <c r="N54" s="10" t="n">
        <v>583.4</v>
      </c>
      <c r="O54" s="10" t="n">
        <v>73.2</v>
      </c>
    </row>
    <row r="55" customFormat="false" ht="30" hidden="false" customHeight="true" outlineLevel="0" collapsed="false">
      <c r="A55" s="7" t="n">
        <v>54</v>
      </c>
      <c r="B55" s="8" t="s">
        <v>97</v>
      </c>
      <c r="C55" s="8" t="s">
        <v>69</v>
      </c>
      <c r="D55" s="5" t="s">
        <v>85</v>
      </c>
      <c r="E55" s="5" t="s">
        <v>71</v>
      </c>
      <c r="F55" s="5" t="s">
        <v>157</v>
      </c>
      <c r="G55" s="5" t="s">
        <v>71</v>
      </c>
      <c r="H55" s="5" t="s">
        <v>223</v>
      </c>
      <c r="I55" s="5" t="s">
        <v>105</v>
      </c>
      <c r="J55" s="5" t="s">
        <v>224</v>
      </c>
      <c r="K55" s="9" t="n">
        <v>3889</v>
      </c>
      <c r="L55" s="10" t="n">
        <v>212.8</v>
      </c>
      <c r="M55" s="10" t="n">
        <v>92.3</v>
      </c>
      <c r="N55" s="10" t="n">
        <v>553.2</v>
      </c>
      <c r="O55" s="10" t="n">
        <v>70.7</v>
      </c>
    </row>
    <row r="56" customFormat="false" ht="30" hidden="false" customHeight="true" outlineLevel="0" collapsed="false">
      <c r="A56" s="7" t="n">
        <v>55</v>
      </c>
      <c r="B56" s="8" t="s">
        <v>102</v>
      </c>
      <c r="C56" s="11" t="s">
        <v>77</v>
      </c>
      <c r="D56" s="5" t="s">
        <v>70</v>
      </c>
      <c r="E56" s="5" t="s">
        <v>79</v>
      </c>
      <c r="F56" s="5" t="s">
        <v>160</v>
      </c>
      <c r="G56" s="5" t="s">
        <v>93</v>
      </c>
      <c r="H56" s="5" t="s">
        <v>225</v>
      </c>
      <c r="I56" s="5" t="s">
        <v>74</v>
      </c>
      <c r="J56" s="5" t="s">
        <v>214</v>
      </c>
      <c r="K56" s="9" t="n">
        <v>4076</v>
      </c>
      <c r="L56" s="10" t="n">
        <v>210.3</v>
      </c>
      <c r="M56" s="10" t="n">
        <v>92.6</v>
      </c>
      <c r="N56" s="10" t="n">
        <v>600.5</v>
      </c>
      <c r="O56" s="10" t="n">
        <v>36.9</v>
      </c>
    </row>
    <row r="57" customFormat="false" ht="30" hidden="false" customHeight="true" outlineLevel="0" collapsed="false">
      <c r="A57" s="7" t="n">
        <v>56</v>
      </c>
      <c r="B57" s="8" t="s">
        <v>107</v>
      </c>
      <c r="C57" s="11" t="s">
        <v>77</v>
      </c>
      <c r="D57" s="5" t="s">
        <v>78</v>
      </c>
      <c r="E57" s="5" t="s">
        <v>79</v>
      </c>
      <c r="F57" s="5" t="s">
        <v>163</v>
      </c>
      <c r="G57" s="5" t="s">
        <v>81</v>
      </c>
      <c r="H57" s="5" t="s">
        <v>226</v>
      </c>
      <c r="I57" s="5" t="s">
        <v>83</v>
      </c>
      <c r="J57" s="5" t="s">
        <v>227</v>
      </c>
      <c r="K57" s="9" t="n">
        <v>3895</v>
      </c>
      <c r="L57" s="10" t="n">
        <v>214</v>
      </c>
      <c r="M57" s="10" t="n">
        <v>87.7</v>
      </c>
      <c r="N57" s="10" t="n">
        <v>581.2</v>
      </c>
      <c r="O57" s="10" t="n">
        <v>69.8</v>
      </c>
    </row>
    <row r="58" customFormat="false" ht="30" hidden="false" customHeight="true" outlineLevel="0" collapsed="false">
      <c r="A58" s="7" t="n">
        <v>57</v>
      </c>
      <c r="B58" s="8" t="s">
        <v>68</v>
      </c>
      <c r="C58" s="8" t="s">
        <v>69</v>
      </c>
      <c r="D58" s="5" t="s">
        <v>85</v>
      </c>
      <c r="E58" s="5" t="s">
        <v>71</v>
      </c>
      <c r="F58" s="5" t="s">
        <v>166</v>
      </c>
      <c r="G58" s="5" t="s">
        <v>71</v>
      </c>
      <c r="H58" s="5" t="s">
        <v>228</v>
      </c>
      <c r="I58" s="5" t="s">
        <v>89</v>
      </c>
      <c r="J58" s="5" t="s">
        <v>229</v>
      </c>
      <c r="K58" s="9" t="n">
        <v>4144</v>
      </c>
      <c r="L58" s="10" t="n">
        <v>197.2</v>
      </c>
      <c r="M58" s="10" t="n">
        <v>112.3</v>
      </c>
      <c r="N58" s="10" t="n">
        <v>581.3</v>
      </c>
      <c r="O58" s="10" t="n">
        <v>41.5</v>
      </c>
    </row>
    <row r="59" customFormat="false" ht="30" hidden="false" customHeight="true" outlineLevel="0" collapsed="false">
      <c r="A59" s="7" t="n">
        <v>58</v>
      </c>
      <c r="B59" s="8" t="s">
        <v>76</v>
      </c>
      <c r="C59" s="11" t="s">
        <v>77</v>
      </c>
      <c r="D59" s="5" t="s">
        <v>70</v>
      </c>
      <c r="E59" s="5" t="s">
        <v>79</v>
      </c>
      <c r="F59" s="5" t="s">
        <v>169</v>
      </c>
      <c r="G59" s="5" t="s">
        <v>93</v>
      </c>
      <c r="H59" s="5" t="s">
        <v>230</v>
      </c>
      <c r="I59" s="5" t="s">
        <v>95</v>
      </c>
      <c r="J59" s="5" t="s">
        <v>119</v>
      </c>
      <c r="K59" s="9" t="n">
        <v>3937</v>
      </c>
      <c r="L59" s="10" t="n">
        <v>218.2</v>
      </c>
      <c r="M59" s="10" t="n">
        <v>86.1</v>
      </c>
      <c r="N59" s="10" t="n">
        <v>582.3</v>
      </c>
      <c r="O59" s="10" t="n">
        <v>54.6</v>
      </c>
    </row>
    <row r="60" customFormat="false" ht="30" hidden="false" customHeight="true" outlineLevel="0" collapsed="false">
      <c r="A60" s="7" t="n">
        <v>59</v>
      </c>
      <c r="B60" s="8" t="s">
        <v>84</v>
      </c>
      <c r="C60" s="11" t="s">
        <v>77</v>
      </c>
      <c r="D60" s="5" t="s">
        <v>78</v>
      </c>
      <c r="E60" s="5" t="s">
        <v>79</v>
      </c>
      <c r="F60" s="5" t="s">
        <v>172</v>
      </c>
      <c r="G60" s="5" t="s">
        <v>81</v>
      </c>
      <c r="H60" s="5" t="s">
        <v>231</v>
      </c>
      <c r="I60" s="5" t="s">
        <v>100</v>
      </c>
      <c r="J60" s="5" t="s">
        <v>232</v>
      </c>
      <c r="K60" s="9" t="n">
        <v>4072</v>
      </c>
      <c r="L60" s="10" t="n">
        <v>201</v>
      </c>
      <c r="M60" s="10" t="n">
        <v>110.8</v>
      </c>
      <c r="N60" s="10" t="n">
        <v>580.3</v>
      </c>
      <c r="O60" s="10" t="n">
        <v>74.7</v>
      </c>
    </row>
    <row r="61" customFormat="false" ht="30" hidden="false" customHeight="true" outlineLevel="0" collapsed="false">
      <c r="A61" s="7" t="n">
        <v>60</v>
      </c>
      <c r="B61" s="8" t="s">
        <v>91</v>
      </c>
      <c r="C61" s="11" t="s">
        <v>77</v>
      </c>
      <c r="D61" s="5" t="s">
        <v>85</v>
      </c>
      <c r="E61" s="5" t="s">
        <v>79</v>
      </c>
      <c r="F61" s="5" t="s">
        <v>175</v>
      </c>
      <c r="G61" s="5" t="s">
        <v>87</v>
      </c>
      <c r="H61" s="5" t="s">
        <v>233</v>
      </c>
      <c r="I61" s="5" t="s">
        <v>105</v>
      </c>
      <c r="J61" s="5" t="s">
        <v>234</v>
      </c>
      <c r="K61" s="9" t="n">
        <v>3991</v>
      </c>
      <c r="L61" s="10" t="n">
        <v>216.4</v>
      </c>
      <c r="M61" s="10" t="n">
        <v>87.6</v>
      </c>
      <c r="N61" s="10" t="n">
        <v>582</v>
      </c>
      <c r="O61" s="10" t="n">
        <v>46.4</v>
      </c>
    </row>
    <row r="62" customFormat="false" ht="15" hidden="false" customHeight="false" outlineLevel="0" collapsed="false">
      <c r="A62" s="12" t="s">
        <v>235</v>
      </c>
      <c r="B62" s="13"/>
      <c r="C62" s="13"/>
      <c r="D62" s="13"/>
      <c r="E62" s="13"/>
      <c r="F62" s="13"/>
      <c r="G62" s="13"/>
      <c r="H62" s="13"/>
      <c r="I62" s="13"/>
      <c r="J62" s="13"/>
      <c r="K62" s="14" t="n">
        <v>4050</v>
      </c>
      <c r="L62" s="12" t="n">
        <v>180</v>
      </c>
      <c r="M62" s="12" t="n">
        <v>110</v>
      </c>
      <c r="N62" s="12" t="n">
        <v>585</v>
      </c>
      <c r="O62" s="12" t="n">
        <v>40</v>
      </c>
    </row>
    <row r="63" customFormat="false" ht="15" hidden="false" customHeight="false" outlineLevel="0" collapsed="false">
      <c r="A63" s="15" t="s">
        <v>236</v>
      </c>
      <c r="B63" s="3"/>
      <c r="C63" s="3"/>
      <c r="D63" s="3"/>
      <c r="E63" s="3"/>
      <c r="F63" s="3"/>
      <c r="G63" s="3"/>
      <c r="H63" s="3"/>
      <c r="I63" s="3"/>
      <c r="J63" s="3"/>
      <c r="K63" s="16" t="n">
        <f aca="false">AVERAGE(K2:K61)</f>
        <v>4018.7</v>
      </c>
      <c r="L63" s="17" t="n">
        <f aca="false">AVERAGE(L2:L61)</f>
        <v>207.228333333333</v>
      </c>
      <c r="M63" s="17" t="n">
        <f aca="false">AVERAGE(M2:M61)</f>
        <v>99.1133333333333</v>
      </c>
      <c r="N63" s="17" t="n">
        <f aca="false">AVERAGE(N2:N61)</f>
        <v>577.863333333333</v>
      </c>
      <c r="O63" s="17" t="n">
        <f aca="false">AVERAGE(O2:O61)</f>
        <v>55.0316666666667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6"/>
    <col collapsed="false" customWidth="true" hidden="false" outlineLevel="0" max="4" min="4" style="0" width="62"/>
    <col collapsed="false" customWidth="true" hidden="false" outlineLevel="0" max="5" min="5" style="0" width="9"/>
    <col collapsed="false" customWidth="true" hidden="false" outlineLevel="0" max="6" min="6" style="0" width="10"/>
    <col collapsed="false" customWidth="true" hidden="false" outlineLevel="0" max="8" min="7" style="0" width="9"/>
    <col collapsed="false" customWidth="true" hidden="false" outlineLevel="0" max="9" min="9" style="0" width="10"/>
  </cols>
  <sheetData>
    <row r="1" customFormat="false" ht="15" hidden="false" customHeight="false" outlineLevel="0" collapsed="false">
      <c r="A1" s="6" t="s">
        <v>53</v>
      </c>
      <c r="B1" s="6" t="s">
        <v>54</v>
      </c>
      <c r="C1" s="6" t="s">
        <v>237</v>
      </c>
      <c r="D1" s="6" t="s">
        <v>238</v>
      </c>
      <c r="E1" s="6" t="s">
        <v>63</v>
      </c>
      <c r="F1" s="6" t="s">
        <v>64</v>
      </c>
      <c r="G1" s="6" t="s">
        <v>65</v>
      </c>
      <c r="H1" s="6" t="s">
        <v>66</v>
      </c>
      <c r="I1" s="6" t="s">
        <v>67</v>
      </c>
    </row>
    <row r="2" customFormat="false" ht="15" hidden="false" customHeight="false" outlineLevel="0" collapsed="false">
      <c r="A2" s="8" t="n">
        <v>1</v>
      </c>
      <c r="B2" s="8" t="s">
        <v>68</v>
      </c>
      <c r="C2" s="8" t="s">
        <v>56</v>
      </c>
      <c r="D2" s="5" t="s">
        <v>70</v>
      </c>
      <c r="E2" s="9" t="n">
        <v>737</v>
      </c>
      <c r="F2" s="10" t="n">
        <v>44.8</v>
      </c>
      <c r="G2" s="10" t="n">
        <v>23.9</v>
      </c>
      <c r="H2" s="10" t="n">
        <v>86.1</v>
      </c>
      <c r="I2" s="10" t="n">
        <v>14.3</v>
      </c>
    </row>
    <row r="3" customFormat="false" ht="15" hidden="false" customHeight="false" outlineLevel="0" collapsed="false">
      <c r="A3" s="8" t="n">
        <v>1</v>
      </c>
      <c r="B3" s="8" t="s">
        <v>68</v>
      </c>
      <c r="C3" s="8" t="s">
        <v>239</v>
      </c>
      <c r="D3" s="5" t="s">
        <v>240</v>
      </c>
      <c r="E3" s="9" t="n">
        <v>764</v>
      </c>
      <c r="F3" s="10" t="n">
        <v>58</v>
      </c>
      <c r="G3" s="10" t="n">
        <v>16</v>
      </c>
      <c r="H3" s="10" t="n">
        <v>92.6</v>
      </c>
      <c r="I3" s="10" t="n">
        <v>10.5</v>
      </c>
    </row>
    <row r="4" customFormat="false" ht="15" hidden="false" customHeight="false" outlineLevel="0" collapsed="false">
      <c r="A4" s="8" t="n">
        <v>1</v>
      </c>
      <c r="B4" s="8" t="s">
        <v>68</v>
      </c>
      <c r="C4" s="8" t="s">
        <v>241</v>
      </c>
      <c r="D4" s="5" t="s">
        <v>242</v>
      </c>
      <c r="E4" s="9" t="n">
        <v>1080</v>
      </c>
      <c r="F4" s="10" t="n">
        <v>63.1</v>
      </c>
      <c r="G4" s="10" t="n">
        <v>17.7</v>
      </c>
      <c r="H4" s="10" t="n">
        <v>166.2</v>
      </c>
      <c r="I4" s="10" t="n">
        <v>12.3</v>
      </c>
    </row>
    <row r="5" customFormat="false" ht="15" hidden="false" customHeight="false" outlineLevel="0" collapsed="false">
      <c r="A5" s="8" t="n">
        <v>1</v>
      </c>
      <c r="B5" s="8" t="s">
        <v>68</v>
      </c>
      <c r="C5" s="8" t="s">
        <v>61</v>
      </c>
      <c r="D5" s="5" t="s">
        <v>74</v>
      </c>
      <c r="E5" s="9" t="n">
        <v>334</v>
      </c>
      <c r="F5" s="10" t="n">
        <v>26.1</v>
      </c>
      <c r="G5" s="10" t="n">
        <v>2.2</v>
      </c>
      <c r="H5" s="10" t="n">
        <v>55.6</v>
      </c>
      <c r="I5" s="10" t="n">
        <v>2.6</v>
      </c>
    </row>
    <row r="6" customFormat="false" ht="15" hidden="false" customHeight="false" outlineLevel="0" collapsed="false">
      <c r="A6" s="8" t="n">
        <v>1</v>
      </c>
      <c r="B6" s="8" t="s">
        <v>68</v>
      </c>
      <c r="C6" s="8" t="s">
        <v>62</v>
      </c>
      <c r="D6" s="5" t="s">
        <v>75</v>
      </c>
      <c r="E6" s="9" t="n">
        <v>1076</v>
      </c>
      <c r="F6" s="10" t="n">
        <v>15.9</v>
      </c>
      <c r="G6" s="10" t="n">
        <v>32.3</v>
      </c>
      <c r="H6" s="10" t="n">
        <v>178.4</v>
      </c>
      <c r="I6" s="10" t="n">
        <v>2.7</v>
      </c>
    </row>
    <row r="7" customFormat="false" ht="15" hidden="false" customHeight="false" outlineLevel="0" collapsed="false">
      <c r="A7" s="3"/>
      <c r="B7" s="3"/>
      <c r="C7" s="15" t="s">
        <v>243</v>
      </c>
      <c r="D7" s="15" t="s">
        <v>244</v>
      </c>
      <c r="E7" s="16" t="n">
        <f aca="false">SUM(E2:E6)</f>
        <v>3991</v>
      </c>
      <c r="F7" s="17" t="n">
        <f aca="false">SUM(F2:F6)</f>
        <v>207.9</v>
      </c>
      <c r="G7" s="17" t="n">
        <f aca="false">SUM(G2:G6)</f>
        <v>92.1</v>
      </c>
      <c r="H7" s="17" t="n">
        <f aca="false">SUM(H2:H6)</f>
        <v>578.9</v>
      </c>
      <c r="I7" s="17" t="n">
        <f aca="false">SUM(I2:I6)</f>
        <v>42.4</v>
      </c>
    </row>
    <row r="9" customFormat="false" ht="15" hidden="false" customHeight="false" outlineLevel="0" collapsed="false">
      <c r="A9" s="8" t="n">
        <v>2</v>
      </c>
      <c r="B9" s="8" t="s">
        <v>76</v>
      </c>
      <c r="C9" s="8" t="s">
        <v>56</v>
      </c>
      <c r="D9" s="5" t="s">
        <v>78</v>
      </c>
      <c r="E9" s="9" t="n">
        <v>630</v>
      </c>
      <c r="F9" s="10" t="n">
        <v>34.2</v>
      </c>
      <c r="G9" s="10" t="n">
        <v>18.1</v>
      </c>
      <c r="H9" s="10" t="n">
        <v>80.6</v>
      </c>
      <c r="I9" s="10" t="n">
        <v>11.9</v>
      </c>
    </row>
    <row r="10" customFormat="false" ht="15" hidden="false" customHeight="false" outlineLevel="0" collapsed="false">
      <c r="A10" s="8" t="n">
        <v>2</v>
      </c>
      <c r="B10" s="8" t="s">
        <v>76</v>
      </c>
      <c r="C10" s="8" t="s">
        <v>57</v>
      </c>
      <c r="D10" s="5" t="s">
        <v>79</v>
      </c>
      <c r="E10" s="9" t="n">
        <v>419</v>
      </c>
      <c r="F10" s="10" t="n">
        <v>5.3</v>
      </c>
      <c r="G10" s="10" t="n">
        <v>1.4</v>
      </c>
      <c r="H10" s="10" t="n">
        <v>100.7</v>
      </c>
      <c r="I10" s="10" t="n">
        <v>4.7</v>
      </c>
    </row>
    <row r="11" customFormat="false" ht="15" hidden="false" customHeight="false" outlineLevel="0" collapsed="false">
      <c r="A11" s="8" t="n">
        <v>2</v>
      </c>
      <c r="B11" s="8" t="s">
        <v>76</v>
      </c>
      <c r="C11" s="8" t="s">
        <v>245</v>
      </c>
      <c r="D11" s="5" t="s">
        <v>246</v>
      </c>
      <c r="E11" s="9" t="n">
        <v>744</v>
      </c>
      <c r="F11" s="10" t="n">
        <v>46.7</v>
      </c>
      <c r="G11" s="10" t="n">
        <v>16.6</v>
      </c>
      <c r="H11" s="10" t="n">
        <v>100.9</v>
      </c>
      <c r="I11" s="10" t="n">
        <v>10.4</v>
      </c>
    </row>
    <row r="12" customFormat="false" ht="15" hidden="false" customHeight="false" outlineLevel="0" collapsed="false">
      <c r="A12" s="8" t="n">
        <v>2</v>
      </c>
      <c r="B12" s="8" t="s">
        <v>76</v>
      </c>
      <c r="C12" s="8" t="s">
        <v>59</v>
      </c>
      <c r="D12" s="5" t="s">
        <v>81</v>
      </c>
      <c r="E12" s="9" t="n">
        <v>546</v>
      </c>
      <c r="F12" s="10" t="n">
        <v>33</v>
      </c>
      <c r="G12" s="10" t="n">
        <v>6.4</v>
      </c>
      <c r="H12" s="10" t="n">
        <v>88</v>
      </c>
      <c r="I12" s="10" t="n">
        <v>9.5</v>
      </c>
    </row>
    <row r="13" customFormat="false" ht="15" hidden="false" customHeight="false" outlineLevel="0" collapsed="false">
      <c r="A13" s="8" t="n">
        <v>2</v>
      </c>
      <c r="B13" s="8" t="s">
        <v>76</v>
      </c>
      <c r="C13" s="8" t="s">
        <v>247</v>
      </c>
      <c r="D13" s="5" t="s">
        <v>248</v>
      </c>
      <c r="E13" s="9" t="n">
        <v>1317</v>
      </c>
      <c r="F13" s="10" t="n">
        <v>75.7</v>
      </c>
      <c r="G13" s="10" t="n">
        <v>37</v>
      </c>
      <c r="H13" s="10" t="n">
        <v>173.4</v>
      </c>
      <c r="I13" s="10" t="n">
        <v>17.7</v>
      </c>
    </row>
    <row r="14" customFormat="false" ht="15" hidden="false" customHeight="false" outlineLevel="0" collapsed="false">
      <c r="A14" s="8" t="n">
        <v>2</v>
      </c>
      <c r="B14" s="8" t="s">
        <v>76</v>
      </c>
      <c r="C14" s="8" t="s">
        <v>61</v>
      </c>
      <c r="D14" s="5" t="s">
        <v>83</v>
      </c>
      <c r="E14" s="9" t="n">
        <v>305</v>
      </c>
      <c r="F14" s="10" t="n">
        <v>27.1</v>
      </c>
      <c r="G14" s="10" t="n">
        <v>1.9</v>
      </c>
      <c r="H14" s="10" t="n">
        <v>47.5</v>
      </c>
      <c r="I14" s="10" t="n">
        <v>2.4</v>
      </c>
    </row>
    <row r="15" customFormat="false" ht="15" hidden="false" customHeight="false" outlineLevel="0" collapsed="false">
      <c r="A15" s="3"/>
      <c r="B15" s="3"/>
      <c r="C15" s="15" t="s">
        <v>243</v>
      </c>
      <c r="D15" s="15" t="s">
        <v>249</v>
      </c>
      <c r="E15" s="16" t="n">
        <f aca="false">SUM(E9:E14)</f>
        <v>3961</v>
      </c>
      <c r="F15" s="17" t="n">
        <f aca="false">SUM(F9:F14)</f>
        <v>222</v>
      </c>
      <c r="G15" s="17" t="n">
        <f aca="false">SUM(G9:G14)</f>
        <v>81.4</v>
      </c>
      <c r="H15" s="17" t="n">
        <f aca="false">SUM(H9:H14)</f>
        <v>591.1</v>
      </c>
      <c r="I15" s="17" t="n">
        <f aca="false">SUM(I9:I14)</f>
        <v>56.6</v>
      </c>
    </row>
    <row r="17" customFormat="false" ht="15" hidden="false" customHeight="false" outlineLevel="0" collapsed="false">
      <c r="A17" s="8" t="n">
        <v>3</v>
      </c>
      <c r="B17" s="8" t="s">
        <v>84</v>
      </c>
      <c r="C17" s="8" t="s">
        <v>56</v>
      </c>
      <c r="D17" s="5" t="s">
        <v>85</v>
      </c>
      <c r="E17" s="9" t="n">
        <v>687</v>
      </c>
      <c r="F17" s="10" t="n">
        <v>43</v>
      </c>
      <c r="G17" s="10" t="n">
        <v>17.3</v>
      </c>
      <c r="H17" s="10" t="n">
        <v>92.7</v>
      </c>
      <c r="I17" s="10" t="n">
        <v>5.5</v>
      </c>
    </row>
    <row r="18" customFormat="false" ht="15" hidden="false" customHeight="false" outlineLevel="0" collapsed="false">
      <c r="A18" s="8" t="n">
        <v>3</v>
      </c>
      <c r="B18" s="8" t="s">
        <v>84</v>
      </c>
      <c r="C18" s="8" t="s">
        <v>57</v>
      </c>
      <c r="D18" s="5" t="s">
        <v>79</v>
      </c>
      <c r="E18" s="9" t="n">
        <v>419</v>
      </c>
      <c r="F18" s="10" t="n">
        <v>5.3</v>
      </c>
      <c r="G18" s="10" t="n">
        <v>1.4</v>
      </c>
      <c r="H18" s="10" t="n">
        <v>100.7</v>
      </c>
      <c r="I18" s="10" t="n">
        <v>4.7</v>
      </c>
    </row>
    <row r="19" customFormat="false" ht="15" hidden="false" customHeight="false" outlineLevel="0" collapsed="false">
      <c r="A19" s="8" t="n">
        <v>3</v>
      </c>
      <c r="B19" s="8" t="s">
        <v>84</v>
      </c>
      <c r="C19" s="8" t="s">
        <v>250</v>
      </c>
      <c r="D19" s="5" t="s">
        <v>251</v>
      </c>
      <c r="E19" s="9" t="n">
        <v>888</v>
      </c>
      <c r="F19" s="10" t="n">
        <v>66.3</v>
      </c>
      <c r="G19" s="10" t="n">
        <v>26.8</v>
      </c>
      <c r="H19" s="10" t="n">
        <v>90</v>
      </c>
      <c r="I19" s="10" t="n">
        <v>9.2</v>
      </c>
    </row>
    <row r="20" customFormat="false" ht="15" hidden="false" customHeight="false" outlineLevel="0" collapsed="false">
      <c r="A20" s="8" t="n">
        <v>3</v>
      </c>
      <c r="B20" s="8" t="s">
        <v>84</v>
      </c>
      <c r="C20" s="8" t="s">
        <v>59</v>
      </c>
      <c r="D20" s="5" t="s">
        <v>87</v>
      </c>
      <c r="E20" s="9" t="n">
        <v>484</v>
      </c>
      <c r="F20" s="10" t="n">
        <v>28.1</v>
      </c>
      <c r="G20" s="10" t="n">
        <v>5.5</v>
      </c>
      <c r="H20" s="10" t="n">
        <v>82.7</v>
      </c>
      <c r="I20" s="10" t="n">
        <v>3.5</v>
      </c>
    </row>
    <row r="21" customFormat="false" ht="15" hidden="false" customHeight="false" outlineLevel="0" collapsed="false">
      <c r="A21" s="8" t="n">
        <v>3</v>
      </c>
      <c r="B21" s="8" t="s">
        <v>84</v>
      </c>
      <c r="C21" s="8" t="s">
        <v>252</v>
      </c>
      <c r="D21" s="5" t="s">
        <v>253</v>
      </c>
      <c r="E21" s="9" t="n">
        <v>951</v>
      </c>
      <c r="F21" s="10" t="n">
        <v>55.3</v>
      </c>
      <c r="G21" s="10" t="n">
        <v>32.3</v>
      </c>
      <c r="H21" s="10" t="n">
        <v>114.2</v>
      </c>
      <c r="I21" s="10" t="n">
        <v>22.1</v>
      </c>
    </row>
    <row r="22" customFormat="false" ht="15" hidden="false" customHeight="false" outlineLevel="0" collapsed="false">
      <c r="A22" s="8" t="n">
        <v>3</v>
      </c>
      <c r="B22" s="8" t="s">
        <v>84</v>
      </c>
      <c r="C22" s="8" t="s">
        <v>61</v>
      </c>
      <c r="D22" s="5" t="s">
        <v>89</v>
      </c>
      <c r="E22" s="9" t="n">
        <v>297</v>
      </c>
      <c r="F22" s="10" t="n">
        <v>23.9</v>
      </c>
      <c r="G22" s="10" t="n">
        <v>10.2</v>
      </c>
      <c r="H22" s="10" t="n">
        <v>30.2</v>
      </c>
      <c r="I22" s="10" t="n">
        <v>1.1</v>
      </c>
    </row>
    <row r="23" customFormat="false" ht="15" hidden="false" customHeight="false" outlineLevel="0" collapsed="false">
      <c r="A23" s="8" t="n">
        <v>3</v>
      </c>
      <c r="B23" s="8" t="s">
        <v>84</v>
      </c>
      <c r="C23" s="8" t="s">
        <v>62</v>
      </c>
      <c r="D23" s="5" t="s">
        <v>90</v>
      </c>
      <c r="E23" s="9" t="n">
        <v>410</v>
      </c>
      <c r="F23" s="10" t="n">
        <v>4.8</v>
      </c>
      <c r="G23" s="10" t="n">
        <v>16</v>
      </c>
      <c r="H23" s="10" t="n">
        <v>62.8</v>
      </c>
      <c r="I23" s="10" t="n">
        <v>1.1</v>
      </c>
    </row>
    <row r="24" customFormat="false" ht="15" hidden="false" customHeight="false" outlineLevel="0" collapsed="false">
      <c r="A24" s="3"/>
      <c r="B24" s="3"/>
      <c r="C24" s="15" t="s">
        <v>243</v>
      </c>
      <c r="D24" s="15" t="s">
        <v>254</v>
      </c>
      <c r="E24" s="16" t="n">
        <f aca="false">SUM(E17:E23)</f>
        <v>4136</v>
      </c>
      <c r="F24" s="17" t="n">
        <f aca="false">SUM(F17:F23)</f>
        <v>226.7</v>
      </c>
      <c r="G24" s="17" t="n">
        <f aca="false">SUM(G17:G23)</f>
        <v>109.5</v>
      </c>
      <c r="H24" s="17" t="n">
        <f aca="false">SUM(H17:H23)</f>
        <v>573.3</v>
      </c>
      <c r="I24" s="17" t="n">
        <f aca="false">SUM(I17:I23)</f>
        <v>47.2</v>
      </c>
    </row>
    <row r="26" customFormat="false" ht="15" hidden="false" customHeight="false" outlineLevel="0" collapsed="false">
      <c r="A26" s="8" t="n">
        <v>4</v>
      </c>
      <c r="B26" s="8" t="s">
        <v>91</v>
      </c>
      <c r="C26" s="8" t="s">
        <v>56</v>
      </c>
      <c r="D26" s="5" t="s">
        <v>70</v>
      </c>
      <c r="E26" s="9" t="n">
        <v>737</v>
      </c>
      <c r="F26" s="10" t="n">
        <v>44.8</v>
      </c>
      <c r="G26" s="10" t="n">
        <v>23.9</v>
      </c>
      <c r="H26" s="10" t="n">
        <v>86.1</v>
      </c>
      <c r="I26" s="10" t="n">
        <v>14.3</v>
      </c>
    </row>
    <row r="27" customFormat="false" ht="15" hidden="false" customHeight="false" outlineLevel="0" collapsed="false">
      <c r="A27" s="8" t="n">
        <v>4</v>
      </c>
      <c r="B27" s="8" t="s">
        <v>91</v>
      </c>
      <c r="C27" s="8" t="s">
        <v>57</v>
      </c>
      <c r="D27" s="5" t="s">
        <v>79</v>
      </c>
      <c r="E27" s="9" t="n">
        <v>419</v>
      </c>
      <c r="F27" s="10" t="n">
        <v>5.3</v>
      </c>
      <c r="G27" s="10" t="n">
        <v>1.4</v>
      </c>
      <c r="H27" s="10" t="n">
        <v>100.7</v>
      </c>
      <c r="I27" s="10" t="n">
        <v>4.7</v>
      </c>
    </row>
    <row r="28" customFormat="false" ht="15" hidden="false" customHeight="false" outlineLevel="0" collapsed="false">
      <c r="A28" s="8" t="n">
        <v>4</v>
      </c>
      <c r="B28" s="8" t="s">
        <v>91</v>
      </c>
      <c r="C28" s="8" t="s">
        <v>255</v>
      </c>
      <c r="D28" s="5" t="s">
        <v>256</v>
      </c>
      <c r="E28" s="9" t="n">
        <v>764</v>
      </c>
      <c r="F28" s="10" t="n">
        <v>40.1</v>
      </c>
      <c r="G28" s="10" t="n">
        <v>8.3</v>
      </c>
      <c r="H28" s="10" t="n">
        <v>132.9</v>
      </c>
      <c r="I28" s="10" t="n">
        <v>16</v>
      </c>
    </row>
    <row r="29" customFormat="false" ht="15" hidden="false" customHeight="false" outlineLevel="0" collapsed="false">
      <c r="A29" s="8" t="n">
        <v>4</v>
      </c>
      <c r="B29" s="8" t="s">
        <v>91</v>
      </c>
      <c r="C29" s="8" t="s">
        <v>59</v>
      </c>
      <c r="D29" s="5" t="s">
        <v>93</v>
      </c>
      <c r="E29" s="9" t="n">
        <v>603</v>
      </c>
      <c r="F29" s="10" t="n">
        <v>34.2</v>
      </c>
      <c r="G29" s="10" t="n">
        <v>1.4</v>
      </c>
      <c r="H29" s="10" t="n">
        <v>112.3</v>
      </c>
      <c r="I29" s="10" t="n">
        <v>1.3</v>
      </c>
    </row>
    <row r="30" customFormat="false" ht="15" hidden="false" customHeight="false" outlineLevel="0" collapsed="false">
      <c r="A30" s="8" t="n">
        <v>4</v>
      </c>
      <c r="B30" s="8" t="s">
        <v>91</v>
      </c>
      <c r="C30" s="8" t="s">
        <v>257</v>
      </c>
      <c r="D30" s="5" t="s">
        <v>258</v>
      </c>
      <c r="E30" s="9" t="n">
        <v>1041</v>
      </c>
      <c r="F30" s="10" t="n">
        <v>59.2</v>
      </c>
      <c r="G30" s="10" t="n">
        <v>20.6</v>
      </c>
      <c r="H30" s="10" t="n">
        <v>150.8</v>
      </c>
      <c r="I30" s="10" t="n">
        <v>10.4</v>
      </c>
    </row>
    <row r="31" customFormat="false" ht="15" hidden="false" customHeight="false" outlineLevel="0" collapsed="false">
      <c r="A31" s="8" t="n">
        <v>4</v>
      </c>
      <c r="B31" s="8" t="s">
        <v>91</v>
      </c>
      <c r="C31" s="8" t="s">
        <v>61</v>
      </c>
      <c r="D31" s="5" t="s">
        <v>95</v>
      </c>
      <c r="E31" s="9" t="n">
        <v>250</v>
      </c>
      <c r="F31" s="10" t="n">
        <v>21.4</v>
      </c>
      <c r="G31" s="10" t="n">
        <v>0.8</v>
      </c>
      <c r="H31" s="10" t="n">
        <v>40.2</v>
      </c>
      <c r="I31" s="10" t="n">
        <v>0.4</v>
      </c>
    </row>
    <row r="32" customFormat="false" ht="15" hidden="false" customHeight="false" outlineLevel="0" collapsed="false">
      <c r="A32" s="8" t="n">
        <v>4</v>
      </c>
      <c r="B32" s="8" t="s">
        <v>91</v>
      </c>
      <c r="C32" s="8" t="s">
        <v>62</v>
      </c>
      <c r="D32" s="5" t="s">
        <v>96</v>
      </c>
      <c r="E32" s="9" t="n">
        <v>265</v>
      </c>
      <c r="F32" s="10" t="n">
        <v>11.2</v>
      </c>
      <c r="G32" s="10" t="n">
        <v>22.1</v>
      </c>
      <c r="H32" s="10" t="n">
        <v>6.8</v>
      </c>
      <c r="I32" s="10" t="n">
        <v>2.7</v>
      </c>
    </row>
    <row r="33" customFormat="false" ht="15" hidden="false" customHeight="false" outlineLevel="0" collapsed="false">
      <c r="A33" s="3"/>
      <c r="B33" s="3"/>
      <c r="C33" s="15" t="s">
        <v>243</v>
      </c>
      <c r="D33" s="15" t="s">
        <v>259</v>
      </c>
      <c r="E33" s="16" t="n">
        <f aca="false">SUM(E26:E32)</f>
        <v>4079</v>
      </c>
      <c r="F33" s="17" t="n">
        <f aca="false">SUM(F26:F32)</f>
        <v>216.2</v>
      </c>
      <c r="G33" s="17" t="n">
        <f aca="false">SUM(G26:G32)</f>
        <v>78.5</v>
      </c>
      <c r="H33" s="17" t="n">
        <f aca="false">SUM(H26:H32)</f>
        <v>629.8</v>
      </c>
      <c r="I33" s="17" t="n">
        <f aca="false">SUM(I26:I32)</f>
        <v>49.8</v>
      </c>
    </row>
    <row r="35" customFormat="false" ht="15" hidden="false" customHeight="false" outlineLevel="0" collapsed="false">
      <c r="A35" s="8" t="n">
        <v>5</v>
      </c>
      <c r="B35" s="8" t="s">
        <v>97</v>
      </c>
      <c r="C35" s="8" t="s">
        <v>56</v>
      </c>
      <c r="D35" s="5" t="s">
        <v>78</v>
      </c>
      <c r="E35" s="9" t="n">
        <v>630</v>
      </c>
      <c r="F35" s="10" t="n">
        <v>34.2</v>
      </c>
      <c r="G35" s="10" t="n">
        <v>18.1</v>
      </c>
      <c r="H35" s="10" t="n">
        <v>80.6</v>
      </c>
      <c r="I35" s="10" t="n">
        <v>11.9</v>
      </c>
    </row>
    <row r="36" customFormat="false" ht="15" hidden="false" customHeight="false" outlineLevel="0" collapsed="false">
      <c r="A36" s="8" t="n">
        <v>5</v>
      </c>
      <c r="B36" s="8" t="s">
        <v>97</v>
      </c>
      <c r="C36" s="8" t="s">
        <v>260</v>
      </c>
      <c r="D36" s="5" t="s">
        <v>261</v>
      </c>
      <c r="E36" s="9" t="n">
        <v>854</v>
      </c>
      <c r="F36" s="10" t="n">
        <v>52.6</v>
      </c>
      <c r="G36" s="10" t="n">
        <v>38.8</v>
      </c>
      <c r="H36" s="10" t="n">
        <v>63.6</v>
      </c>
      <c r="I36" s="10" t="n">
        <v>10.7</v>
      </c>
    </row>
    <row r="37" customFormat="false" ht="15" hidden="false" customHeight="false" outlineLevel="0" collapsed="false">
      <c r="A37" s="8" t="n">
        <v>5</v>
      </c>
      <c r="B37" s="8" t="s">
        <v>97</v>
      </c>
      <c r="C37" s="8" t="s">
        <v>262</v>
      </c>
      <c r="D37" s="5" t="s">
        <v>263</v>
      </c>
      <c r="E37" s="9" t="n">
        <v>883</v>
      </c>
      <c r="F37" s="10" t="n">
        <v>64.4</v>
      </c>
      <c r="G37" s="10" t="n">
        <v>25.4</v>
      </c>
      <c r="H37" s="10" t="n">
        <v>96.7</v>
      </c>
      <c r="I37" s="10" t="n">
        <v>15</v>
      </c>
    </row>
    <row r="38" customFormat="false" ht="15" hidden="false" customHeight="false" outlineLevel="0" collapsed="false">
      <c r="A38" s="8" t="n">
        <v>5</v>
      </c>
      <c r="B38" s="8" t="s">
        <v>97</v>
      </c>
      <c r="C38" s="8" t="s">
        <v>61</v>
      </c>
      <c r="D38" s="5" t="s">
        <v>100</v>
      </c>
      <c r="E38" s="9" t="n">
        <v>439</v>
      </c>
      <c r="F38" s="10" t="n">
        <v>16.3</v>
      </c>
      <c r="G38" s="10" t="n">
        <v>16.4</v>
      </c>
      <c r="H38" s="10" t="n">
        <v>58.1</v>
      </c>
      <c r="I38" s="10" t="n">
        <v>3.2</v>
      </c>
    </row>
    <row r="39" customFormat="false" ht="23.85" hidden="false" customHeight="false" outlineLevel="0" collapsed="false">
      <c r="A39" s="8" t="n">
        <v>5</v>
      </c>
      <c r="B39" s="8" t="s">
        <v>97</v>
      </c>
      <c r="C39" s="8" t="s">
        <v>62</v>
      </c>
      <c r="D39" s="5" t="s">
        <v>101</v>
      </c>
      <c r="E39" s="9" t="n">
        <v>1020</v>
      </c>
      <c r="F39" s="10" t="n">
        <v>24.2</v>
      </c>
      <c r="G39" s="10" t="n">
        <v>12.6</v>
      </c>
      <c r="H39" s="10" t="n">
        <v>199</v>
      </c>
      <c r="I39" s="10" t="n">
        <v>3</v>
      </c>
    </row>
    <row r="40" customFormat="false" ht="15" hidden="false" customHeight="false" outlineLevel="0" collapsed="false">
      <c r="A40" s="3"/>
      <c r="B40" s="3"/>
      <c r="C40" s="15" t="s">
        <v>243</v>
      </c>
      <c r="D40" s="15" t="s">
        <v>264</v>
      </c>
      <c r="E40" s="16" t="n">
        <f aca="false">SUM(E35:E39)</f>
        <v>3826</v>
      </c>
      <c r="F40" s="17" t="n">
        <f aca="false">SUM(F35:F39)</f>
        <v>191.7</v>
      </c>
      <c r="G40" s="17" t="n">
        <f aca="false">SUM(G35:G39)</f>
        <v>111.3</v>
      </c>
      <c r="H40" s="17" t="n">
        <f aca="false">SUM(H35:H39)</f>
        <v>498</v>
      </c>
      <c r="I40" s="17" t="n">
        <f aca="false">SUM(I35:I39)</f>
        <v>43.8</v>
      </c>
    </row>
    <row r="42" customFormat="false" ht="15" hidden="false" customHeight="false" outlineLevel="0" collapsed="false">
      <c r="A42" s="8" t="n">
        <v>6</v>
      </c>
      <c r="B42" s="8" t="s">
        <v>102</v>
      </c>
      <c r="C42" s="8" t="s">
        <v>56</v>
      </c>
      <c r="D42" s="5" t="s">
        <v>85</v>
      </c>
      <c r="E42" s="9" t="n">
        <v>687</v>
      </c>
      <c r="F42" s="10" t="n">
        <v>43</v>
      </c>
      <c r="G42" s="10" t="n">
        <v>17.3</v>
      </c>
      <c r="H42" s="10" t="n">
        <v>92.7</v>
      </c>
      <c r="I42" s="10" t="n">
        <v>5.5</v>
      </c>
    </row>
    <row r="43" customFormat="false" ht="15" hidden="false" customHeight="false" outlineLevel="0" collapsed="false">
      <c r="A43" s="8" t="n">
        <v>6</v>
      </c>
      <c r="B43" s="8" t="s">
        <v>102</v>
      </c>
      <c r="C43" s="8" t="s">
        <v>57</v>
      </c>
      <c r="D43" s="5" t="s">
        <v>79</v>
      </c>
      <c r="E43" s="9" t="n">
        <v>419</v>
      </c>
      <c r="F43" s="10" t="n">
        <v>5.3</v>
      </c>
      <c r="G43" s="10" t="n">
        <v>1.4</v>
      </c>
      <c r="H43" s="10" t="n">
        <v>100.7</v>
      </c>
      <c r="I43" s="10" t="n">
        <v>4.7</v>
      </c>
    </row>
    <row r="44" customFormat="false" ht="15" hidden="false" customHeight="false" outlineLevel="0" collapsed="false">
      <c r="A44" s="8" t="n">
        <v>6</v>
      </c>
      <c r="B44" s="8" t="s">
        <v>102</v>
      </c>
      <c r="C44" s="8" t="s">
        <v>265</v>
      </c>
      <c r="D44" s="5" t="s">
        <v>266</v>
      </c>
      <c r="E44" s="9" t="n">
        <v>817</v>
      </c>
      <c r="F44" s="10" t="n">
        <v>35</v>
      </c>
      <c r="G44" s="10" t="n">
        <v>32.3</v>
      </c>
      <c r="H44" s="10" t="n">
        <v>90.4</v>
      </c>
      <c r="I44" s="10" t="n">
        <v>22.2</v>
      </c>
    </row>
    <row r="45" customFormat="false" ht="15" hidden="false" customHeight="false" outlineLevel="0" collapsed="false">
      <c r="A45" s="8" t="n">
        <v>6</v>
      </c>
      <c r="B45" s="8" t="s">
        <v>102</v>
      </c>
      <c r="C45" s="8" t="s">
        <v>59</v>
      </c>
      <c r="D45" s="5" t="s">
        <v>87</v>
      </c>
      <c r="E45" s="9" t="n">
        <v>484</v>
      </c>
      <c r="F45" s="10" t="n">
        <v>28.1</v>
      </c>
      <c r="G45" s="10" t="n">
        <v>5.5</v>
      </c>
      <c r="H45" s="10" t="n">
        <v>82.7</v>
      </c>
      <c r="I45" s="10" t="n">
        <v>3.5</v>
      </c>
    </row>
    <row r="46" customFormat="false" ht="15" hidden="false" customHeight="false" outlineLevel="0" collapsed="false">
      <c r="A46" s="8" t="n">
        <v>6</v>
      </c>
      <c r="B46" s="8" t="s">
        <v>102</v>
      </c>
      <c r="C46" s="8" t="s">
        <v>267</v>
      </c>
      <c r="D46" s="5" t="s">
        <v>268</v>
      </c>
      <c r="E46" s="9" t="n">
        <v>966</v>
      </c>
      <c r="F46" s="10" t="n">
        <v>58.8</v>
      </c>
      <c r="G46" s="10" t="n">
        <v>33.2</v>
      </c>
      <c r="H46" s="10" t="n">
        <v>105.9</v>
      </c>
      <c r="I46" s="10" t="n">
        <v>13.4</v>
      </c>
    </row>
    <row r="47" customFormat="false" ht="15" hidden="false" customHeight="false" outlineLevel="0" collapsed="false">
      <c r="A47" s="8" t="n">
        <v>6</v>
      </c>
      <c r="B47" s="8" t="s">
        <v>102</v>
      </c>
      <c r="C47" s="8" t="s">
        <v>61</v>
      </c>
      <c r="D47" s="5" t="s">
        <v>105</v>
      </c>
      <c r="E47" s="9" t="n">
        <v>279</v>
      </c>
      <c r="F47" s="10" t="n">
        <v>25.6</v>
      </c>
      <c r="G47" s="10" t="n">
        <v>2</v>
      </c>
      <c r="H47" s="10" t="n">
        <v>42.2</v>
      </c>
      <c r="I47" s="10" t="n">
        <v>2.7</v>
      </c>
    </row>
    <row r="48" customFormat="false" ht="15" hidden="false" customHeight="false" outlineLevel="0" collapsed="false">
      <c r="A48" s="8" t="n">
        <v>6</v>
      </c>
      <c r="B48" s="8" t="s">
        <v>102</v>
      </c>
      <c r="C48" s="8" t="s">
        <v>62</v>
      </c>
      <c r="D48" s="5" t="s">
        <v>106</v>
      </c>
      <c r="E48" s="9" t="n">
        <v>321</v>
      </c>
      <c r="F48" s="10" t="n">
        <v>5.7</v>
      </c>
      <c r="G48" s="10" t="n">
        <v>5.8</v>
      </c>
      <c r="H48" s="10" t="n">
        <v>68.8</v>
      </c>
      <c r="I48" s="10" t="n">
        <v>8.3</v>
      </c>
    </row>
    <row r="49" customFormat="false" ht="15" hidden="false" customHeight="false" outlineLevel="0" collapsed="false">
      <c r="A49" s="3"/>
      <c r="B49" s="3"/>
      <c r="C49" s="15" t="s">
        <v>243</v>
      </c>
      <c r="D49" s="15" t="s">
        <v>269</v>
      </c>
      <c r="E49" s="16" t="n">
        <f aca="false">SUM(E42:E48)</f>
        <v>3973</v>
      </c>
      <c r="F49" s="17" t="n">
        <f aca="false">SUM(F42:F48)</f>
        <v>201.5</v>
      </c>
      <c r="G49" s="17" t="n">
        <f aca="false">SUM(G42:G48)</f>
        <v>97.5</v>
      </c>
      <c r="H49" s="17" t="n">
        <f aca="false">SUM(H42:H48)</f>
        <v>583.4</v>
      </c>
      <c r="I49" s="17" t="n">
        <f aca="false">SUM(I42:I48)</f>
        <v>60.3</v>
      </c>
    </row>
    <row r="51" customFormat="false" ht="15" hidden="false" customHeight="false" outlineLevel="0" collapsed="false">
      <c r="A51" s="8" t="n">
        <v>7</v>
      </c>
      <c r="B51" s="8" t="s">
        <v>107</v>
      </c>
      <c r="C51" s="8" t="s">
        <v>56</v>
      </c>
      <c r="D51" s="5" t="s">
        <v>70</v>
      </c>
      <c r="E51" s="9" t="n">
        <v>737</v>
      </c>
      <c r="F51" s="10" t="n">
        <v>44.8</v>
      </c>
      <c r="G51" s="10" t="n">
        <v>23.9</v>
      </c>
      <c r="H51" s="10" t="n">
        <v>86.1</v>
      </c>
      <c r="I51" s="10" t="n">
        <v>14.3</v>
      </c>
    </row>
    <row r="52" customFormat="false" ht="15" hidden="false" customHeight="false" outlineLevel="0" collapsed="false">
      <c r="A52" s="8" t="n">
        <v>7</v>
      </c>
      <c r="B52" s="8" t="s">
        <v>107</v>
      </c>
      <c r="C52" s="8" t="s">
        <v>57</v>
      </c>
      <c r="D52" s="5" t="s">
        <v>79</v>
      </c>
      <c r="E52" s="9" t="n">
        <v>419</v>
      </c>
      <c r="F52" s="10" t="n">
        <v>5.3</v>
      </c>
      <c r="G52" s="10" t="n">
        <v>1.4</v>
      </c>
      <c r="H52" s="10" t="n">
        <v>100.7</v>
      </c>
      <c r="I52" s="10" t="n">
        <v>4.7</v>
      </c>
    </row>
    <row r="53" customFormat="false" ht="15" hidden="false" customHeight="false" outlineLevel="0" collapsed="false">
      <c r="A53" s="8" t="n">
        <v>7</v>
      </c>
      <c r="B53" s="8" t="s">
        <v>107</v>
      </c>
      <c r="C53" s="8" t="s">
        <v>270</v>
      </c>
      <c r="D53" s="5" t="s">
        <v>271</v>
      </c>
      <c r="E53" s="9" t="n">
        <v>840</v>
      </c>
      <c r="F53" s="10" t="n">
        <v>36.6</v>
      </c>
      <c r="G53" s="10" t="n">
        <v>39</v>
      </c>
      <c r="H53" s="10" t="n">
        <v>75.1</v>
      </c>
      <c r="I53" s="10" t="n">
        <v>12.7</v>
      </c>
    </row>
    <row r="54" customFormat="false" ht="15" hidden="false" customHeight="false" outlineLevel="0" collapsed="false">
      <c r="A54" s="8" t="n">
        <v>7</v>
      </c>
      <c r="B54" s="8" t="s">
        <v>107</v>
      </c>
      <c r="C54" s="8" t="s">
        <v>59</v>
      </c>
      <c r="D54" s="5" t="s">
        <v>93</v>
      </c>
      <c r="E54" s="9" t="n">
        <v>603</v>
      </c>
      <c r="F54" s="10" t="n">
        <v>34.2</v>
      </c>
      <c r="G54" s="10" t="n">
        <v>1.4</v>
      </c>
      <c r="H54" s="10" t="n">
        <v>112.3</v>
      </c>
      <c r="I54" s="10" t="n">
        <v>1.3</v>
      </c>
    </row>
    <row r="55" customFormat="false" ht="15" hidden="false" customHeight="false" outlineLevel="0" collapsed="false">
      <c r="A55" s="8" t="n">
        <v>7</v>
      </c>
      <c r="B55" s="8" t="s">
        <v>107</v>
      </c>
      <c r="C55" s="8" t="s">
        <v>272</v>
      </c>
      <c r="D55" s="5" t="s">
        <v>273</v>
      </c>
      <c r="E55" s="9" t="n">
        <v>978</v>
      </c>
      <c r="F55" s="10" t="n">
        <v>55.7</v>
      </c>
      <c r="G55" s="10" t="n">
        <v>31.4</v>
      </c>
      <c r="H55" s="10" t="n">
        <v>115.1</v>
      </c>
      <c r="I55" s="10" t="n">
        <v>11.2</v>
      </c>
    </row>
    <row r="56" customFormat="false" ht="15" hidden="false" customHeight="false" outlineLevel="0" collapsed="false">
      <c r="A56" s="8" t="n">
        <v>7</v>
      </c>
      <c r="B56" s="8" t="s">
        <v>107</v>
      </c>
      <c r="C56" s="8" t="s">
        <v>61</v>
      </c>
      <c r="D56" s="5" t="s">
        <v>74</v>
      </c>
      <c r="E56" s="9" t="n">
        <v>334</v>
      </c>
      <c r="F56" s="10" t="n">
        <v>26.1</v>
      </c>
      <c r="G56" s="10" t="n">
        <v>2.2</v>
      </c>
      <c r="H56" s="10" t="n">
        <v>55.6</v>
      </c>
      <c r="I56" s="10" t="n">
        <v>2.6</v>
      </c>
    </row>
    <row r="57" customFormat="false" ht="15" hidden="false" customHeight="false" outlineLevel="0" collapsed="false">
      <c r="A57" s="8" t="n">
        <v>7</v>
      </c>
      <c r="B57" s="8" t="s">
        <v>107</v>
      </c>
      <c r="C57" s="8" t="s">
        <v>62</v>
      </c>
      <c r="D57" s="5" t="s">
        <v>110</v>
      </c>
      <c r="E57" s="9" t="n">
        <v>244</v>
      </c>
      <c r="F57" s="10" t="n">
        <v>2.4</v>
      </c>
      <c r="G57" s="10" t="n">
        <v>10.7</v>
      </c>
      <c r="H57" s="10" t="n">
        <v>35.9</v>
      </c>
      <c r="I57" s="10" t="n">
        <v>0.7</v>
      </c>
    </row>
    <row r="58" customFormat="false" ht="15" hidden="false" customHeight="false" outlineLevel="0" collapsed="false">
      <c r="A58" s="3"/>
      <c r="B58" s="3"/>
      <c r="C58" s="15" t="s">
        <v>243</v>
      </c>
      <c r="D58" s="15" t="s">
        <v>274</v>
      </c>
      <c r="E58" s="16" t="n">
        <f aca="false">SUM(E51:E57)</f>
        <v>4155</v>
      </c>
      <c r="F58" s="17" t="n">
        <f aca="false">SUM(F51:F57)</f>
        <v>205.1</v>
      </c>
      <c r="G58" s="17" t="n">
        <f aca="false">SUM(G51:G57)</f>
        <v>110</v>
      </c>
      <c r="H58" s="17" t="n">
        <f aca="false">SUM(H51:H57)</f>
        <v>580.8</v>
      </c>
      <c r="I58" s="17" t="n">
        <f aca="false">SUM(I51:I57)</f>
        <v>47.5</v>
      </c>
    </row>
    <row r="60" customFormat="false" ht="15" hidden="false" customHeight="false" outlineLevel="0" collapsed="false">
      <c r="A60" s="8" t="n">
        <v>8</v>
      </c>
      <c r="B60" s="8" t="s">
        <v>68</v>
      </c>
      <c r="C60" s="8" t="s">
        <v>56</v>
      </c>
      <c r="D60" s="5" t="s">
        <v>78</v>
      </c>
      <c r="E60" s="9" t="n">
        <v>630</v>
      </c>
      <c r="F60" s="10" t="n">
        <v>34.2</v>
      </c>
      <c r="G60" s="10" t="n">
        <v>18.1</v>
      </c>
      <c r="H60" s="10" t="n">
        <v>80.6</v>
      </c>
      <c r="I60" s="10" t="n">
        <v>11.9</v>
      </c>
    </row>
    <row r="61" customFormat="false" ht="15" hidden="false" customHeight="false" outlineLevel="0" collapsed="false">
      <c r="A61" s="8" t="n">
        <v>8</v>
      </c>
      <c r="B61" s="8" t="s">
        <v>68</v>
      </c>
      <c r="C61" s="8" t="s">
        <v>275</v>
      </c>
      <c r="D61" s="5" t="s">
        <v>276</v>
      </c>
      <c r="E61" s="9" t="n">
        <v>663</v>
      </c>
      <c r="F61" s="10" t="n">
        <v>40.7</v>
      </c>
      <c r="G61" s="10" t="n">
        <v>19.6</v>
      </c>
      <c r="H61" s="10" t="n">
        <v>84.4</v>
      </c>
      <c r="I61" s="10" t="n">
        <v>16.1</v>
      </c>
    </row>
    <row r="62" customFormat="false" ht="15" hidden="false" customHeight="false" outlineLevel="0" collapsed="false">
      <c r="A62" s="8" t="n">
        <v>8</v>
      </c>
      <c r="B62" s="8" t="s">
        <v>68</v>
      </c>
      <c r="C62" s="8" t="s">
        <v>277</v>
      </c>
      <c r="D62" s="5" t="s">
        <v>278</v>
      </c>
      <c r="E62" s="9" t="n">
        <v>994</v>
      </c>
      <c r="F62" s="10" t="n">
        <v>61.3</v>
      </c>
      <c r="G62" s="10" t="n">
        <v>31.1</v>
      </c>
      <c r="H62" s="10" t="n">
        <v>114.7</v>
      </c>
      <c r="I62" s="10" t="n">
        <v>10.1</v>
      </c>
    </row>
    <row r="63" customFormat="false" ht="15" hidden="false" customHeight="false" outlineLevel="0" collapsed="false">
      <c r="A63" s="8" t="n">
        <v>8</v>
      </c>
      <c r="B63" s="8" t="s">
        <v>68</v>
      </c>
      <c r="C63" s="8" t="s">
        <v>61</v>
      </c>
      <c r="D63" s="5" t="s">
        <v>83</v>
      </c>
      <c r="E63" s="9" t="n">
        <v>305</v>
      </c>
      <c r="F63" s="10" t="n">
        <v>27.1</v>
      </c>
      <c r="G63" s="10" t="n">
        <v>1.9</v>
      </c>
      <c r="H63" s="10" t="n">
        <v>47.5</v>
      </c>
      <c r="I63" s="10" t="n">
        <v>2.4</v>
      </c>
    </row>
    <row r="64" customFormat="false" ht="15" hidden="false" customHeight="false" outlineLevel="0" collapsed="false">
      <c r="A64" s="8" t="n">
        <v>8</v>
      </c>
      <c r="B64" s="8" t="s">
        <v>68</v>
      </c>
      <c r="C64" s="8" t="s">
        <v>62</v>
      </c>
      <c r="D64" s="5" t="s">
        <v>113</v>
      </c>
      <c r="E64" s="9" t="n">
        <v>1248</v>
      </c>
      <c r="F64" s="10" t="n">
        <v>41</v>
      </c>
      <c r="G64" s="10" t="n">
        <v>34.6</v>
      </c>
      <c r="H64" s="10" t="n">
        <v>188.7</v>
      </c>
      <c r="I64" s="10" t="n">
        <v>29</v>
      </c>
    </row>
    <row r="65" customFormat="false" ht="15" hidden="false" customHeight="false" outlineLevel="0" collapsed="false">
      <c r="A65" s="3"/>
      <c r="B65" s="3"/>
      <c r="C65" s="15" t="s">
        <v>243</v>
      </c>
      <c r="D65" s="15" t="s">
        <v>279</v>
      </c>
      <c r="E65" s="16" t="n">
        <f aca="false">SUM(E60:E64)</f>
        <v>3840</v>
      </c>
      <c r="F65" s="17" t="n">
        <f aca="false">SUM(F60:F64)</f>
        <v>204.3</v>
      </c>
      <c r="G65" s="17" t="n">
        <f aca="false">SUM(G60:G64)</f>
        <v>105.3</v>
      </c>
      <c r="H65" s="17" t="n">
        <f aca="false">SUM(H60:H64)</f>
        <v>515.9</v>
      </c>
      <c r="I65" s="17" t="n">
        <f aca="false">SUM(I60:I64)</f>
        <v>69.5</v>
      </c>
    </row>
    <row r="67" customFormat="false" ht="15" hidden="false" customHeight="false" outlineLevel="0" collapsed="false">
      <c r="A67" s="8" t="n">
        <v>9</v>
      </c>
      <c r="B67" s="8" t="s">
        <v>76</v>
      </c>
      <c r="C67" s="8" t="s">
        <v>56</v>
      </c>
      <c r="D67" s="5" t="s">
        <v>85</v>
      </c>
      <c r="E67" s="9" t="n">
        <v>687</v>
      </c>
      <c r="F67" s="10" t="n">
        <v>43</v>
      </c>
      <c r="G67" s="10" t="n">
        <v>17.3</v>
      </c>
      <c r="H67" s="10" t="n">
        <v>92.7</v>
      </c>
      <c r="I67" s="10" t="n">
        <v>5.5</v>
      </c>
    </row>
    <row r="68" customFormat="false" ht="15" hidden="false" customHeight="false" outlineLevel="0" collapsed="false">
      <c r="A68" s="8" t="n">
        <v>9</v>
      </c>
      <c r="B68" s="8" t="s">
        <v>76</v>
      </c>
      <c r="C68" s="8" t="s">
        <v>57</v>
      </c>
      <c r="D68" s="5" t="s">
        <v>79</v>
      </c>
      <c r="E68" s="9" t="n">
        <v>419</v>
      </c>
      <c r="F68" s="10" t="n">
        <v>5.3</v>
      </c>
      <c r="G68" s="10" t="n">
        <v>1.4</v>
      </c>
      <c r="H68" s="10" t="n">
        <v>100.7</v>
      </c>
      <c r="I68" s="10" t="n">
        <v>4.7</v>
      </c>
    </row>
    <row r="69" customFormat="false" ht="15" hidden="false" customHeight="false" outlineLevel="0" collapsed="false">
      <c r="A69" s="8" t="n">
        <v>9</v>
      </c>
      <c r="B69" s="8" t="s">
        <v>76</v>
      </c>
      <c r="C69" s="8" t="s">
        <v>280</v>
      </c>
      <c r="D69" s="5" t="s">
        <v>281</v>
      </c>
      <c r="E69" s="9" t="n">
        <v>826</v>
      </c>
      <c r="F69" s="10" t="n">
        <v>48.1</v>
      </c>
      <c r="G69" s="10" t="n">
        <v>35.5</v>
      </c>
      <c r="H69" s="10" t="n">
        <v>73.4</v>
      </c>
      <c r="I69" s="10" t="n">
        <v>10.7</v>
      </c>
    </row>
    <row r="70" customFormat="false" ht="15" hidden="false" customHeight="false" outlineLevel="0" collapsed="false">
      <c r="A70" s="8" t="n">
        <v>9</v>
      </c>
      <c r="B70" s="8" t="s">
        <v>76</v>
      </c>
      <c r="C70" s="8" t="s">
        <v>59</v>
      </c>
      <c r="D70" s="5" t="s">
        <v>87</v>
      </c>
      <c r="E70" s="9" t="n">
        <v>484</v>
      </c>
      <c r="F70" s="10" t="n">
        <v>28.1</v>
      </c>
      <c r="G70" s="10" t="n">
        <v>5.5</v>
      </c>
      <c r="H70" s="10" t="n">
        <v>82.7</v>
      </c>
      <c r="I70" s="10" t="n">
        <v>3.5</v>
      </c>
    </row>
    <row r="71" customFormat="false" ht="15" hidden="false" customHeight="false" outlineLevel="0" collapsed="false">
      <c r="A71" s="8" t="n">
        <v>9</v>
      </c>
      <c r="B71" s="8" t="s">
        <v>76</v>
      </c>
      <c r="C71" s="8" t="s">
        <v>282</v>
      </c>
      <c r="D71" s="5" t="s">
        <v>283</v>
      </c>
      <c r="E71" s="9" t="n">
        <v>1018</v>
      </c>
      <c r="F71" s="10" t="n">
        <v>65.9</v>
      </c>
      <c r="G71" s="10" t="n">
        <v>28.6</v>
      </c>
      <c r="H71" s="10" t="n">
        <v>121.2</v>
      </c>
      <c r="I71" s="10" t="n">
        <v>26</v>
      </c>
    </row>
    <row r="72" customFormat="false" ht="15" hidden="false" customHeight="false" outlineLevel="0" collapsed="false">
      <c r="A72" s="8" t="n">
        <v>9</v>
      </c>
      <c r="B72" s="8" t="s">
        <v>76</v>
      </c>
      <c r="C72" s="8" t="s">
        <v>61</v>
      </c>
      <c r="D72" s="5" t="s">
        <v>89</v>
      </c>
      <c r="E72" s="9" t="n">
        <v>297</v>
      </c>
      <c r="F72" s="10" t="n">
        <v>23.9</v>
      </c>
      <c r="G72" s="10" t="n">
        <v>10.2</v>
      </c>
      <c r="H72" s="10" t="n">
        <v>30.2</v>
      </c>
      <c r="I72" s="10" t="n">
        <v>1.1</v>
      </c>
    </row>
    <row r="73" customFormat="false" ht="15" hidden="false" customHeight="false" outlineLevel="0" collapsed="false">
      <c r="A73" s="8" t="n">
        <v>9</v>
      </c>
      <c r="B73" s="8" t="s">
        <v>76</v>
      </c>
      <c r="C73" s="8" t="s">
        <v>62</v>
      </c>
      <c r="D73" s="5" t="s">
        <v>116</v>
      </c>
      <c r="E73" s="9" t="n">
        <v>418</v>
      </c>
      <c r="F73" s="10" t="n">
        <v>5.9</v>
      </c>
      <c r="G73" s="10" t="n">
        <v>11.1</v>
      </c>
      <c r="H73" s="10" t="n">
        <v>74</v>
      </c>
      <c r="I73" s="10" t="n">
        <v>1.3</v>
      </c>
    </row>
    <row r="74" customFormat="false" ht="15" hidden="false" customHeight="false" outlineLevel="0" collapsed="false">
      <c r="A74" s="3"/>
      <c r="B74" s="3"/>
      <c r="C74" s="15" t="s">
        <v>243</v>
      </c>
      <c r="D74" s="15" t="s">
        <v>284</v>
      </c>
      <c r="E74" s="16" t="n">
        <f aca="false">SUM(E67:E73)</f>
        <v>4149</v>
      </c>
      <c r="F74" s="17" t="n">
        <f aca="false">SUM(F67:F73)</f>
        <v>220.2</v>
      </c>
      <c r="G74" s="17" t="n">
        <f aca="false">SUM(G67:G73)</f>
        <v>109.6</v>
      </c>
      <c r="H74" s="17" t="n">
        <f aca="false">SUM(H67:H73)</f>
        <v>574.9</v>
      </c>
      <c r="I74" s="17" t="n">
        <f aca="false">SUM(I67:I73)</f>
        <v>52.8</v>
      </c>
    </row>
    <row r="76" customFormat="false" ht="15" hidden="false" customHeight="false" outlineLevel="0" collapsed="false">
      <c r="A76" s="8" t="n">
        <v>10</v>
      </c>
      <c r="B76" s="8" t="s">
        <v>84</v>
      </c>
      <c r="C76" s="8" t="s">
        <v>56</v>
      </c>
      <c r="D76" s="5" t="s">
        <v>70</v>
      </c>
      <c r="E76" s="9" t="n">
        <v>737</v>
      </c>
      <c r="F76" s="10" t="n">
        <v>44.8</v>
      </c>
      <c r="G76" s="10" t="n">
        <v>23.9</v>
      </c>
      <c r="H76" s="10" t="n">
        <v>86.1</v>
      </c>
      <c r="I76" s="10" t="n">
        <v>14.3</v>
      </c>
    </row>
    <row r="77" customFormat="false" ht="15" hidden="false" customHeight="false" outlineLevel="0" collapsed="false">
      <c r="A77" s="8" t="n">
        <v>10</v>
      </c>
      <c r="B77" s="8" t="s">
        <v>84</v>
      </c>
      <c r="C77" s="8" t="s">
        <v>57</v>
      </c>
      <c r="D77" s="5" t="s">
        <v>79</v>
      </c>
      <c r="E77" s="9" t="n">
        <v>419</v>
      </c>
      <c r="F77" s="10" t="n">
        <v>5.3</v>
      </c>
      <c r="G77" s="10" t="n">
        <v>1.4</v>
      </c>
      <c r="H77" s="10" t="n">
        <v>100.7</v>
      </c>
      <c r="I77" s="10" t="n">
        <v>4.7</v>
      </c>
    </row>
    <row r="78" customFormat="false" ht="15" hidden="false" customHeight="false" outlineLevel="0" collapsed="false">
      <c r="A78" s="8" t="n">
        <v>10</v>
      </c>
      <c r="B78" s="8" t="s">
        <v>84</v>
      </c>
      <c r="C78" s="8" t="s">
        <v>285</v>
      </c>
      <c r="D78" s="5" t="s">
        <v>286</v>
      </c>
      <c r="E78" s="9" t="n">
        <v>834</v>
      </c>
      <c r="F78" s="10" t="n">
        <v>56.9</v>
      </c>
      <c r="G78" s="10" t="n">
        <v>18.5</v>
      </c>
      <c r="H78" s="10" t="n">
        <v>106.4</v>
      </c>
      <c r="I78" s="10" t="n">
        <v>9</v>
      </c>
    </row>
    <row r="79" customFormat="false" ht="15" hidden="false" customHeight="false" outlineLevel="0" collapsed="false">
      <c r="A79" s="8" t="n">
        <v>10</v>
      </c>
      <c r="B79" s="8" t="s">
        <v>84</v>
      </c>
      <c r="C79" s="8" t="s">
        <v>59</v>
      </c>
      <c r="D79" s="5" t="s">
        <v>93</v>
      </c>
      <c r="E79" s="9" t="n">
        <v>603</v>
      </c>
      <c r="F79" s="10" t="n">
        <v>34.2</v>
      </c>
      <c r="G79" s="10" t="n">
        <v>1.4</v>
      </c>
      <c r="H79" s="10" t="n">
        <v>112.3</v>
      </c>
      <c r="I79" s="10" t="n">
        <v>1.3</v>
      </c>
    </row>
    <row r="80" customFormat="false" ht="15" hidden="false" customHeight="false" outlineLevel="0" collapsed="false">
      <c r="A80" s="8" t="n">
        <v>10</v>
      </c>
      <c r="B80" s="8" t="s">
        <v>84</v>
      </c>
      <c r="C80" s="8" t="s">
        <v>287</v>
      </c>
      <c r="D80" s="5" t="s">
        <v>288</v>
      </c>
      <c r="E80" s="9" t="n">
        <v>1030</v>
      </c>
      <c r="F80" s="10" t="n">
        <v>59.7</v>
      </c>
      <c r="G80" s="10" t="n">
        <v>21.8</v>
      </c>
      <c r="H80" s="10" t="n">
        <v>142.5</v>
      </c>
      <c r="I80" s="10" t="n">
        <v>8.3</v>
      </c>
    </row>
    <row r="81" customFormat="false" ht="15" hidden="false" customHeight="false" outlineLevel="0" collapsed="false">
      <c r="A81" s="8" t="n">
        <v>10</v>
      </c>
      <c r="B81" s="8" t="s">
        <v>84</v>
      </c>
      <c r="C81" s="8" t="s">
        <v>61</v>
      </c>
      <c r="D81" s="5" t="s">
        <v>95</v>
      </c>
      <c r="E81" s="9" t="n">
        <v>250</v>
      </c>
      <c r="F81" s="10" t="n">
        <v>21.4</v>
      </c>
      <c r="G81" s="10" t="n">
        <v>0.8</v>
      </c>
      <c r="H81" s="10" t="n">
        <v>40.2</v>
      </c>
      <c r="I81" s="10" t="n">
        <v>0.4</v>
      </c>
    </row>
    <row r="82" customFormat="false" ht="15" hidden="false" customHeight="false" outlineLevel="0" collapsed="false">
      <c r="A82" s="8" t="n">
        <v>10</v>
      </c>
      <c r="B82" s="8" t="s">
        <v>84</v>
      </c>
      <c r="C82" s="8" t="s">
        <v>62</v>
      </c>
      <c r="D82" s="5" t="s">
        <v>119</v>
      </c>
      <c r="E82" s="9" t="n">
        <v>118</v>
      </c>
      <c r="F82" s="10" t="n">
        <v>5</v>
      </c>
      <c r="G82" s="10" t="n">
        <v>9.8</v>
      </c>
      <c r="H82" s="10" t="n">
        <v>3</v>
      </c>
      <c r="I82" s="10" t="n">
        <v>1.2</v>
      </c>
    </row>
    <row r="83" customFormat="false" ht="15" hidden="false" customHeight="false" outlineLevel="0" collapsed="false">
      <c r="A83" s="3"/>
      <c r="B83" s="3"/>
      <c r="C83" s="15" t="s">
        <v>243</v>
      </c>
      <c r="D83" s="15" t="s">
        <v>289</v>
      </c>
      <c r="E83" s="16" t="n">
        <f aca="false">SUM(E76:E82)</f>
        <v>3991</v>
      </c>
      <c r="F83" s="17" t="n">
        <f aca="false">SUM(F76:F82)</f>
        <v>227.3</v>
      </c>
      <c r="G83" s="17" t="n">
        <f aca="false">SUM(G76:G82)</f>
        <v>77.6</v>
      </c>
      <c r="H83" s="17" t="n">
        <f aca="false">SUM(H76:H82)</f>
        <v>591.2</v>
      </c>
      <c r="I83" s="17" t="n">
        <f aca="false">SUM(I76:I82)</f>
        <v>39.2</v>
      </c>
    </row>
    <row r="85" customFormat="false" ht="15" hidden="false" customHeight="false" outlineLevel="0" collapsed="false">
      <c r="A85" s="8" t="n">
        <v>11</v>
      </c>
      <c r="B85" s="8" t="s">
        <v>91</v>
      </c>
      <c r="C85" s="8" t="s">
        <v>56</v>
      </c>
      <c r="D85" s="5" t="s">
        <v>78</v>
      </c>
      <c r="E85" s="9" t="n">
        <v>630</v>
      </c>
      <c r="F85" s="10" t="n">
        <v>34.2</v>
      </c>
      <c r="G85" s="10" t="n">
        <v>18.1</v>
      </c>
      <c r="H85" s="10" t="n">
        <v>80.6</v>
      </c>
      <c r="I85" s="10" t="n">
        <v>11.9</v>
      </c>
    </row>
    <row r="86" customFormat="false" ht="15" hidden="false" customHeight="false" outlineLevel="0" collapsed="false">
      <c r="A86" s="8" t="n">
        <v>11</v>
      </c>
      <c r="B86" s="8" t="s">
        <v>91</v>
      </c>
      <c r="C86" s="8" t="s">
        <v>57</v>
      </c>
      <c r="D86" s="5" t="s">
        <v>79</v>
      </c>
      <c r="E86" s="9" t="n">
        <v>419</v>
      </c>
      <c r="F86" s="10" t="n">
        <v>5.3</v>
      </c>
      <c r="G86" s="10" t="n">
        <v>1.4</v>
      </c>
      <c r="H86" s="10" t="n">
        <v>100.7</v>
      </c>
      <c r="I86" s="10" t="n">
        <v>4.7</v>
      </c>
    </row>
    <row r="87" customFormat="false" ht="15" hidden="false" customHeight="false" outlineLevel="0" collapsed="false">
      <c r="A87" s="8" t="n">
        <v>11</v>
      </c>
      <c r="B87" s="8" t="s">
        <v>91</v>
      </c>
      <c r="C87" s="8" t="s">
        <v>290</v>
      </c>
      <c r="D87" s="5" t="s">
        <v>291</v>
      </c>
      <c r="E87" s="9" t="n">
        <v>785</v>
      </c>
      <c r="F87" s="10" t="n">
        <v>39</v>
      </c>
      <c r="G87" s="10" t="n">
        <v>17.8</v>
      </c>
      <c r="H87" s="10" t="n">
        <v>117.9</v>
      </c>
      <c r="I87" s="10" t="n">
        <v>14.9</v>
      </c>
    </row>
    <row r="88" customFormat="false" ht="15" hidden="false" customHeight="false" outlineLevel="0" collapsed="false">
      <c r="A88" s="8" t="n">
        <v>11</v>
      </c>
      <c r="B88" s="8" t="s">
        <v>91</v>
      </c>
      <c r="C88" s="8" t="s">
        <v>59</v>
      </c>
      <c r="D88" s="5" t="s">
        <v>81</v>
      </c>
      <c r="E88" s="9" t="n">
        <v>546</v>
      </c>
      <c r="F88" s="10" t="n">
        <v>33</v>
      </c>
      <c r="G88" s="10" t="n">
        <v>6.4</v>
      </c>
      <c r="H88" s="10" t="n">
        <v>88</v>
      </c>
      <c r="I88" s="10" t="n">
        <v>9.5</v>
      </c>
    </row>
    <row r="89" customFormat="false" ht="15" hidden="false" customHeight="false" outlineLevel="0" collapsed="false">
      <c r="A89" s="8" t="n">
        <v>11</v>
      </c>
      <c r="B89" s="8" t="s">
        <v>91</v>
      </c>
      <c r="C89" s="8" t="s">
        <v>292</v>
      </c>
      <c r="D89" s="5" t="s">
        <v>293</v>
      </c>
      <c r="E89" s="9" t="n">
        <v>1320</v>
      </c>
      <c r="F89" s="10" t="n">
        <v>52.8</v>
      </c>
      <c r="G89" s="10" t="n">
        <v>52.1</v>
      </c>
      <c r="H89" s="10" t="n">
        <v>158.5</v>
      </c>
      <c r="I89" s="10" t="n">
        <v>16.3</v>
      </c>
    </row>
    <row r="90" customFormat="false" ht="15" hidden="false" customHeight="false" outlineLevel="0" collapsed="false">
      <c r="A90" s="8" t="n">
        <v>11</v>
      </c>
      <c r="B90" s="8" t="s">
        <v>91</v>
      </c>
      <c r="C90" s="8" t="s">
        <v>61</v>
      </c>
      <c r="D90" s="5" t="s">
        <v>100</v>
      </c>
      <c r="E90" s="9" t="n">
        <v>439</v>
      </c>
      <c r="F90" s="10" t="n">
        <v>16.3</v>
      </c>
      <c r="G90" s="10" t="n">
        <v>16.4</v>
      </c>
      <c r="H90" s="10" t="n">
        <v>58.1</v>
      </c>
      <c r="I90" s="10" t="n">
        <v>3.2</v>
      </c>
    </row>
    <row r="91" customFormat="false" ht="15" hidden="false" customHeight="false" outlineLevel="0" collapsed="false">
      <c r="A91" s="3"/>
      <c r="B91" s="3"/>
      <c r="C91" s="15" t="s">
        <v>243</v>
      </c>
      <c r="D91" s="15" t="s">
        <v>294</v>
      </c>
      <c r="E91" s="16" t="n">
        <f aca="false">SUM(E85:E90)</f>
        <v>4139</v>
      </c>
      <c r="F91" s="17" t="n">
        <f aca="false">SUM(F85:F90)</f>
        <v>180.6</v>
      </c>
      <c r="G91" s="17" t="n">
        <f aca="false">SUM(G85:G90)</f>
        <v>112.2</v>
      </c>
      <c r="H91" s="17" t="n">
        <f aca="false">SUM(H85:H90)</f>
        <v>603.8</v>
      </c>
      <c r="I91" s="17" t="n">
        <f aca="false">SUM(I85:I90)</f>
        <v>60.5</v>
      </c>
    </row>
    <row r="93" customFormat="false" ht="15" hidden="false" customHeight="false" outlineLevel="0" collapsed="false">
      <c r="A93" s="8" t="n">
        <v>12</v>
      </c>
      <c r="B93" s="8" t="s">
        <v>97</v>
      </c>
      <c r="C93" s="8" t="s">
        <v>56</v>
      </c>
      <c r="D93" s="5" t="s">
        <v>85</v>
      </c>
      <c r="E93" s="9" t="n">
        <v>687</v>
      </c>
      <c r="F93" s="10" t="n">
        <v>43</v>
      </c>
      <c r="G93" s="10" t="n">
        <v>17.3</v>
      </c>
      <c r="H93" s="10" t="n">
        <v>92.7</v>
      </c>
      <c r="I93" s="10" t="n">
        <v>5.5</v>
      </c>
    </row>
    <row r="94" customFormat="false" ht="15" hidden="false" customHeight="false" outlineLevel="0" collapsed="false">
      <c r="A94" s="8" t="n">
        <v>12</v>
      </c>
      <c r="B94" s="8" t="s">
        <v>97</v>
      </c>
      <c r="C94" s="8" t="s">
        <v>295</v>
      </c>
      <c r="D94" s="5" t="s">
        <v>296</v>
      </c>
      <c r="E94" s="9" t="n">
        <v>794</v>
      </c>
      <c r="F94" s="10" t="n">
        <v>59.8</v>
      </c>
      <c r="G94" s="10" t="n">
        <v>14.5</v>
      </c>
      <c r="H94" s="10" t="n">
        <v>94.7</v>
      </c>
      <c r="I94" s="10" t="n">
        <v>17.2</v>
      </c>
    </row>
    <row r="95" customFormat="false" ht="15" hidden="false" customHeight="false" outlineLevel="0" collapsed="false">
      <c r="A95" s="8" t="n">
        <v>12</v>
      </c>
      <c r="B95" s="8" t="s">
        <v>97</v>
      </c>
      <c r="C95" s="8" t="s">
        <v>297</v>
      </c>
      <c r="D95" s="5" t="s">
        <v>298</v>
      </c>
      <c r="E95" s="9" t="n">
        <v>1155</v>
      </c>
      <c r="F95" s="10" t="n">
        <v>72.8</v>
      </c>
      <c r="G95" s="10" t="n">
        <v>33.1</v>
      </c>
      <c r="H95" s="10" t="n">
        <v>144.3</v>
      </c>
      <c r="I95" s="10" t="n">
        <v>16</v>
      </c>
    </row>
    <row r="96" customFormat="false" ht="15" hidden="false" customHeight="false" outlineLevel="0" collapsed="false">
      <c r="A96" s="8" t="n">
        <v>12</v>
      </c>
      <c r="B96" s="8" t="s">
        <v>97</v>
      </c>
      <c r="C96" s="8" t="s">
        <v>61</v>
      </c>
      <c r="D96" s="5" t="s">
        <v>105</v>
      </c>
      <c r="E96" s="9" t="n">
        <v>279</v>
      </c>
      <c r="F96" s="10" t="n">
        <v>25.6</v>
      </c>
      <c r="G96" s="10" t="n">
        <v>2</v>
      </c>
      <c r="H96" s="10" t="n">
        <v>42.2</v>
      </c>
      <c r="I96" s="10" t="n">
        <v>2.7</v>
      </c>
    </row>
    <row r="97" customFormat="false" ht="15" hidden="false" customHeight="false" outlineLevel="0" collapsed="false">
      <c r="A97" s="8" t="n">
        <v>12</v>
      </c>
      <c r="B97" s="8" t="s">
        <v>97</v>
      </c>
      <c r="C97" s="8" t="s">
        <v>62</v>
      </c>
      <c r="D97" s="5" t="s">
        <v>124</v>
      </c>
      <c r="E97" s="9" t="n">
        <v>983</v>
      </c>
      <c r="F97" s="10" t="n">
        <v>29.8</v>
      </c>
      <c r="G97" s="10" t="n">
        <v>12.6</v>
      </c>
      <c r="H97" s="10" t="n">
        <v>181.9</v>
      </c>
      <c r="I97" s="10" t="n">
        <v>26.3</v>
      </c>
    </row>
    <row r="98" customFormat="false" ht="15" hidden="false" customHeight="false" outlineLevel="0" collapsed="false">
      <c r="A98" s="3"/>
      <c r="B98" s="3"/>
      <c r="C98" s="15" t="s">
        <v>243</v>
      </c>
      <c r="D98" s="15" t="s">
        <v>299</v>
      </c>
      <c r="E98" s="16" t="n">
        <f aca="false">SUM(E93:E97)</f>
        <v>3898</v>
      </c>
      <c r="F98" s="17" t="n">
        <f aca="false">SUM(F93:F97)</f>
        <v>231</v>
      </c>
      <c r="G98" s="17" t="n">
        <f aca="false">SUM(G93:G97)</f>
        <v>79.5</v>
      </c>
      <c r="H98" s="17" t="n">
        <f aca="false">SUM(H93:H97)</f>
        <v>555.8</v>
      </c>
      <c r="I98" s="17" t="n">
        <f aca="false">SUM(I93:I97)</f>
        <v>67.7</v>
      </c>
    </row>
    <row r="100" customFormat="false" ht="15" hidden="false" customHeight="false" outlineLevel="0" collapsed="false">
      <c r="A100" s="8" t="n">
        <v>13</v>
      </c>
      <c r="B100" s="8" t="s">
        <v>102</v>
      </c>
      <c r="C100" s="8" t="s">
        <v>56</v>
      </c>
      <c r="D100" s="5" t="s">
        <v>70</v>
      </c>
      <c r="E100" s="9" t="n">
        <v>737</v>
      </c>
      <c r="F100" s="10" t="n">
        <v>44.8</v>
      </c>
      <c r="G100" s="10" t="n">
        <v>23.9</v>
      </c>
      <c r="H100" s="10" t="n">
        <v>86.1</v>
      </c>
      <c r="I100" s="10" t="n">
        <v>14.3</v>
      </c>
    </row>
    <row r="101" customFormat="false" ht="15" hidden="false" customHeight="false" outlineLevel="0" collapsed="false">
      <c r="A101" s="8" t="n">
        <v>13</v>
      </c>
      <c r="B101" s="8" t="s">
        <v>102</v>
      </c>
      <c r="C101" s="8" t="s">
        <v>57</v>
      </c>
      <c r="D101" s="5" t="s">
        <v>79</v>
      </c>
      <c r="E101" s="9" t="n">
        <v>419</v>
      </c>
      <c r="F101" s="10" t="n">
        <v>5.3</v>
      </c>
      <c r="G101" s="10" t="n">
        <v>1.4</v>
      </c>
      <c r="H101" s="10" t="n">
        <v>100.7</v>
      </c>
      <c r="I101" s="10" t="n">
        <v>4.7</v>
      </c>
    </row>
    <row r="102" customFormat="false" ht="15" hidden="false" customHeight="false" outlineLevel="0" collapsed="false">
      <c r="A102" s="8" t="n">
        <v>13</v>
      </c>
      <c r="B102" s="8" t="s">
        <v>102</v>
      </c>
      <c r="C102" s="8" t="s">
        <v>300</v>
      </c>
      <c r="D102" s="5" t="s">
        <v>301</v>
      </c>
      <c r="E102" s="9" t="n">
        <v>913</v>
      </c>
      <c r="F102" s="10" t="n">
        <v>34.7</v>
      </c>
      <c r="G102" s="10" t="n">
        <v>30</v>
      </c>
      <c r="H102" s="10" t="n">
        <v>127.4</v>
      </c>
      <c r="I102" s="10" t="n">
        <v>20</v>
      </c>
    </row>
    <row r="103" customFormat="false" ht="15" hidden="false" customHeight="false" outlineLevel="0" collapsed="false">
      <c r="A103" s="8" t="n">
        <v>13</v>
      </c>
      <c r="B103" s="8" t="s">
        <v>102</v>
      </c>
      <c r="C103" s="8" t="s">
        <v>59</v>
      </c>
      <c r="D103" s="5" t="s">
        <v>93</v>
      </c>
      <c r="E103" s="9" t="n">
        <v>603</v>
      </c>
      <c r="F103" s="10" t="n">
        <v>34.2</v>
      </c>
      <c r="G103" s="10" t="n">
        <v>1.4</v>
      </c>
      <c r="H103" s="10" t="n">
        <v>112.3</v>
      </c>
      <c r="I103" s="10" t="n">
        <v>1.3</v>
      </c>
    </row>
    <row r="104" customFormat="false" ht="15" hidden="false" customHeight="false" outlineLevel="0" collapsed="false">
      <c r="A104" s="8" t="n">
        <v>13</v>
      </c>
      <c r="B104" s="8" t="s">
        <v>102</v>
      </c>
      <c r="C104" s="8" t="s">
        <v>302</v>
      </c>
      <c r="D104" s="5" t="s">
        <v>303</v>
      </c>
      <c r="E104" s="9" t="n">
        <v>966</v>
      </c>
      <c r="F104" s="10" t="n">
        <v>60.5</v>
      </c>
      <c r="G104" s="10" t="n">
        <v>32.6</v>
      </c>
      <c r="H104" s="10" t="n">
        <v>105.2</v>
      </c>
      <c r="I104" s="10" t="n">
        <v>10.1</v>
      </c>
    </row>
    <row r="105" customFormat="false" ht="15" hidden="false" customHeight="false" outlineLevel="0" collapsed="false">
      <c r="A105" s="8" t="n">
        <v>13</v>
      </c>
      <c r="B105" s="8" t="s">
        <v>102</v>
      </c>
      <c r="C105" s="8" t="s">
        <v>61</v>
      </c>
      <c r="D105" s="5" t="s">
        <v>74</v>
      </c>
      <c r="E105" s="9" t="n">
        <v>334</v>
      </c>
      <c r="F105" s="10" t="n">
        <v>26.1</v>
      </c>
      <c r="G105" s="10" t="n">
        <v>2.2</v>
      </c>
      <c r="H105" s="10" t="n">
        <v>55.6</v>
      </c>
      <c r="I105" s="10" t="n">
        <v>2.6</v>
      </c>
    </row>
    <row r="106" customFormat="false" ht="15" hidden="false" customHeight="false" outlineLevel="0" collapsed="false">
      <c r="A106" s="8" t="n">
        <v>13</v>
      </c>
      <c r="B106" s="8" t="s">
        <v>102</v>
      </c>
      <c r="C106" s="8" t="s">
        <v>62</v>
      </c>
      <c r="D106" s="5" t="s">
        <v>127</v>
      </c>
      <c r="E106" s="9" t="n">
        <v>177</v>
      </c>
      <c r="F106" s="10" t="n">
        <v>0</v>
      </c>
      <c r="G106" s="10" t="n">
        <v>20</v>
      </c>
      <c r="H106" s="10" t="n">
        <v>0</v>
      </c>
      <c r="I106" s="10" t="n">
        <v>0</v>
      </c>
    </row>
    <row r="107" customFormat="false" ht="15" hidden="false" customHeight="false" outlineLevel="0" collapsed="false">
      <c r="A107" s="3"/>
      <c r="B107" s="3"/>
      <c r="C107" s="15" t="s">
        <v>243</v>
      </c>
      <c r="D107" s="15" t="s">
        <v>304</v>
      </c>
      <c r="E107" s="16" t="n">
        <f aca="false">SUM(E100:E106)</f>
        <v>4149</v>
      </c>
      <c r="F107" s="17" t="n">
        <f aca="false">SUM(F100:F106)</f>
        <v>205.6</v>
      </c>
      <c r="G107" s="17" t="n">
        <f aca="false">SUM(G100:G106)</f>
        <v>111.5</v>
      </c>
      <c r="H107" s="17" t="n">
        <f aca="false">SUM(H100:H106)</f>
        <v>587.3</v>
      </c>
      <c r="I107" s="17" t="n">
        <f aca="false">SUM(I100:I106)</f>
        <v>53</v>
      </c>
    </row>
    <row r="109" customFormat="false" ht="15" hidden="false" customHeight="false" outlineLevel="0" collapsed="false">
      <c r="A109" s="8" t="n">
        <v>14</v>
      </c>
      <c r="B109" s="8" t="s">
        <v>107</v>
      </c>
      <c r="C109" s="8" t="s">
        <v>56</v>
      </c>
      <c r="D109" s="5" t="s">
        <v>78</v>
      </c>
      <c r="E109" s="9" t="n">
        <v>630</v>
      </c>
      <c r="F109" s="10" t="n">
        <v>34.2</v>
      </c>
      <c r="G109" s="10" t="n">
        <v>18.1</v>
      </c>
      <c r="H109" s="10" t="n">
        <v>80.6</v>
      </c>
      <c r="I109" s="10" t="n">
        <v>11.9</v>
      </c>
    </row>
    <row r="110" customFormat="false" ht="15" hidden="false" customHeight="false" outlineLevel="0" collapsed="false">
      <c r="A110" s="8" t="n">
        <v>14</v>
      </c>
      <c r="B110" s="8" t="s">
        <v>107</v>
      </c>
      <c r="C110" s="8" t="s">
        <v>57</v>
      </c>
      <c r="D110" s="5" t="s">
        <v>79</v>
      </c>
      <c r="E110" s="9" t="n">
        <v>419</v>
      </c>
      <c r="F110" s="10" t="n">
        <v>5.3</v>
      </c>
      <c r="G110" s="10" t="n">
        <v>1.4</v>
      </c>
      <c r="H110" s="10" t="n">
        <v>100.7</v>
      </c>
      <c r="I110" s="10" t="n">
        <v>4.7</v>
      </c>
    </row>
    <row r="111" customFormat="false" ht="15" hidden="false" customHeight="false" outlineLevel="0" collapsed="false">
      <c r="A111" s="8" t="n">
        <v>14</v>
      </c>
      <c r="B111" s="8" t="s">
        <v>107</v>
      </c>
      <c r="C111" s="8" t="s">
        <v>305</v>
      </c>
      <c r="D111" s="5" t="s">
        <v>306</v>
      </c>
      <c r="E111" s="9" t="n">
        <v>795</v>
      </c>
      <c r="F111" s="10" t="n">
        <v>44.4</v>
      </c>
      <c r="G111" s="10" t="n">
        <v>28</v>
      </c>
      <c r="H111" s="10" t="n">
        <v>89.8</v>
      </c>
      <c r="I111" s="10" t="n">
        <v>12.1</v>
      </c>
    </row>
    <row r="112" customFormat="false" ht="15" hidden="false" customHeight="false" outlineLevel="0" collapsed="false">
      <c r="A112" s="8" t="n">
        <v>14</v>
      </c>
      <c r="B112" s="8" t="s">
        <v>107</v>
      </c>
      <c r="C112" s="8" t="s">
        <v>59</v>
      </c>
      <c r="D112" s="5" t="s">
        <v>81</v>
      </c>
      <c r="E112" s="9" t="n">
        <v>546</v>
      </c>
      <c r="F112" s="10" t="n">
        <v>33</v>
      </c>
      <c r="G112" s="10" t="n">
        <v>6.4</v>
      </c>
      <c r="H112" s="10" t="n">
        <v>88</v>
      </c>
      <c r="I112" s="10" t="n">
        <v>9.5</v>
      </c>
    </row>
    <row r="113" customFormat="false" ht="15" hidden="false" customHeight="false" outlineLevel="0" collapsed="false">
      <c r="A113" s="8" t="n">
        <v>14</v>
      </c>
      <c r="B113" s="8" t="s">
        <v>107</v>
      </c>
      <c r="C113" s="8" t="s">
        <v>307</v>
      </c>
      <c r="D113" s="5" t="s">
        <v>308</v>
      </c>
      <c r="E113" s="9" t="n">
        <v>976</v>
      </c>
      <c r="F113" s="10" t="n">
        <v>57.5</v>
      </c>
      <c r="G113" s="10" t="n">
        <v>26.8</v>
      </c>
      <c r="H113" s="10" t="n">
        <v>124.6</v>
      </c>
      <c r="I113" s="10" t="n">
        <v>9.5</v>
      </c>
    </row>
    <row r="114" customFormat="false" ht="15" hidden="false" customHeight="false" outlineLevel="0" collapsed="false">
      <c r="A114" s="8" t="n">
        <v>14</v>
      </c>
      <c r="B114" s="8" t="s">
        <v>107</v>
      </c>
      <c r="C114" s="8" t="s">
        <v>61</v>
      </c>
      <c r="D114" s="5" t="s">
        <v>83</v>
      </c>
      <c r="E114" s="9" t="n">
        <v>305</v>
      </c>
      <c r="F114" s="10" t="n">
        <v>27.1</v>
      </c>
      <c r="G114" s="10" t="n">
        <v>1.9</v>
      </c>
      <c r="H114" s="10" t="n">
        <v>47.5</v>
      </c>
      <c r="I114" s="10" t="n">
        <v>2.4</v>
      </c>
    </row>
    <row r="115" customFormat="false" ht="15" hidden="false" customHeight="false" outlineLevel="0" collapsed="false">
      <c r="A115" s="8" t="n">
        <v>14</v>
      </c>
      <c r="B115" s="8" t="s">
        <v>107</v>
      </c>
      <c r="C115" s="8" t="s">
        <v>62</v>
      </c>
      <c r="D115" s="5" t="s">
        <v>130</v>
      </c>
      <c r="E115" s="9" t="n">
        <v>275</v>
      </c>
      <c r="F115" s="10" t="n">
        <v>6.1</v>
      </c>
      <c r="G115" s="10" t="n">
        <v>8</v>
      </c>
      <c r="H115" s="10" t="n">
        <v>50.1</v>
      </c>
      <c r="I115" s="10" t="n">
        <v>6.4</v>
      </c>
    </row>
    <row r="116" customFormat="false" ht="15" hidden="false" customHeight="false" outlineLevel="0" collapsed="false">
      <c r="A116" s="3"/>
      <c r="B116" s="3"/>
      <c r="C116" s="15" t="s">
        <v>243</v>
      </c>
      <c r="D116" s="15" t="s">
        <v>309</v>
      </c>
      <c r="E116" s="16" t="n">
        <f aca="false">SUM(E109:E115)</f>
        <v>3946</v>
      </c>
      <c r="F116" s="17" t="n">
        <f aca="false">SUM(F109:F115)</f>
        <v>207.6</v>
      </c>
      <c r="G116" s="17" t="n">
        <f aca="false">SUM(G109:G115)</f>
        <v>90.6</v>
      </c>
      <c r="H116" s="17" t="n">
        <f aca="false">SUM(H109:H115)</f>
        <v>581.3</v>
      </c>
      <c r="I116" s="17" t="n">
        <f aca="false">SUM(I109:I115)</f>
        <v>56.5</v>
      </c>
    </row>
    <row r="118" customFormat="false" ht="15" hidden="false" customHeight="false" outlineLevel="0" collapsed="false">
      <c r="A118" s="8" t="n">
        <v>15</v>
      </c>
      <c r="B118" s="8" t="s">
        <v>68</v>
      </c>
      <c r="C118" s="8" t="s">
        <v>56</v>
      </c>
      <c r="D118" s="5" t="s">
        <v>85</v>
      </c>
      <c r="E118" s="9" t="n">
        <v>687</v>
      </c>
      <c r="F118" s="10" t="n">
        <v>43</v>
      </c>
      <c r="G118" s="10" t="n">
        <v>17.3</v>
      </c>
      <c r="H118" s="10" t="n">
        <v>92.7</v>
      </c>
      <c r="I118" s="10" t="n">
        <v>5.5</v>
      </c>
    </row>
    <row r="119" customFormat="false" ht="15" hidden="false" customHeight="false" outlineLevel="0" collapsed="false">
      <c r="A119" s="8" t="n">
        <v>15</v>
      </c>
      <c r="B119" s="8" t="s">
        <v>68</v>
      </c>
      <c r="C119" s="8" t="s">
        <v>310</v>
      </c>
      <c r="D119" s="5" t="s">
        <v>311</v>
      </c>
      <c r="E119" s="9" t="n">
        <v>783</v>
      </c>
      <c r="F119" s="10" t="n">
        <v>31.2</v>
      </c>
      <c r="G119" s="10" t="n">
        <v>24.2</v>
      </c>
      <c r="H119" s="10" t="n">
        <v>114.3</v>
      </c>
      <c r="I119" s="10" t="n">
        <v>17.9</v>
      </c>
    </row>
    <row r="120" customFormat="false" ht="15" hidden="false" customHeight="false" outlineLevel="0" collapsed="false">
      <c r="A120" s="8" t="n">
        <v>15</v>
      </c>
      <c r="B120" s="8" t="s">
        <v>68</v>
      </c>
      <c r="C120" s="8" t="s">
        <v>312</v>
      </c>
      <c r="D120" s="5" t="s">
        <v>313</v>
      </c>
      <c r="E120" s="9" t="n">
        <v>1128</v>
      </c>
      <c r="F120" s="10" t="n">
        <v>50.6</v>
      </c>
      <c r="G120" s="10" t="n">
        <v>34.3</v>
      </c>
      <c r="H120" s="10" t="n">
        <v>153.5</v>
      </c>
      <c r="I120" s="10" t="n">
        <v>10.8</v>
      </c>
    </row>
    <row r="121" customFormat="false" ht="15" hidden="false" customHeight="false" outlineLevel="0" collapsed="false">
      <c r="A121" s="8" t="n">
        <v>15</v>
      </c>
      <c r="B121" s="8" t="s">
        <v>68</v>
      </c>
      <c r="C121" s="8" t="s">
        <v>61</v>
      </c>
      <c r="D121" s="5" t="s">
        <v>89</v>
      </c>
      <c r="E121" s="9" t="n">
        <v>297</v>
      </c>
      <c r="F121" s="10" t="n">
        <v>23.9</v>
      </c>
      <c r="G121" s="10" t="n">
        <v>10.2</v>
      </c>
      <c r="H121" s="10" t="n">
        <v>30.2</v>
      </c>
      <c r="I121" s="10" t="n">
        <v>1.1</v>
      </c>
    </row>
    <row r="122" customFormat="false" ht="23.85" hidden="false" customHeight="false" outlineLevel="0" collapsed="false">
      <c r="A122" s="8" t="n">
        <v>15</v>
      </c>
      <c r="B122" s="8" t="s">
        <v>68</v>
      </c>
      <c r="C122" s="8" t="s">
        <v>62</v>
      </c>
      <c r="D122" s="5" t="s">
        <v>133</v>
      </c>
      <c r="E122" s="9" t="n">
        <v>1123</v>
      </c>
      <c r="F122" s="10" t="n">
        <v>31.6</v>
      </c>
      <c r="G122" s="10" t="n">
        <v>22.6</v>
      </c>
      <c r="H122" s="10" t="n">
        <v>194.8</v>
      </c>
      <c r="I122" s="10" t="n">
        <v>2.9</v>
      </c>
    </row>
    <row r="123" customFormat="false" ht="15" hidden="false" customHeight="false" outlineLevel="0" collapsed="false">
      <c r="A123" s="3"/>
      <c r="B123" s="3"/>
      <c r="C123" s="15" t="s">
        <v>243</v>
      </c>
      <c r="D123" s="15" t="s">
        <v>314</v>
      </c>
      <c r="E123" s="16" t="n">
        <f aca="false">SUM(E118:E122)</f>
        <v>4018</v>
      </c>
      <c r="F123" s="17" t="n">
        <f aca="false">SUM(F118:F122)</f>
        <v>180.3</v>
      </c>
      <c r="G123" s="17" t="n">
        <f aca="false">SUM(G118:G122)</f>
        <v>108.6</v>
      </c>
      <c r="H123" s="17" t="n">
        <f aca="false">SUM(H118:H122)</f>
        <v>585.5</v>
      </c>
      <c r="I123" s="17" t="n">
        <f aca="false">SUM(I118:I122)</f>
        <v>38.2</v>
      </c>
    </row>
    <row r="125" customFormat="false" ht="15" hidden="false" customHeight="false" outlineLevel="0" collapsed="false">
      <c r="A125" s="8" t="n">
        <v>16</v>
      </c>
      <c r="B125" s="8" t="s">
        <v>76</v>
      </c>
      <c r="C125" s="8" t="s">
        <v>56</v>
      </c>
      <c r="D125" s="5" t="s">
        <v>70</v>
      </c>
      <c r="E125" s="9" t="n">
        <v>737</v>
      </c>
      <c r="F125" s="10" t="n">
        <v>44.8</v>
      </c>
      <c r="G125" s="10" t="n">
        <v>23.9</v>
      </c>
      <c r="H125" s="10" t="n">
        <v>86.1</v>
      </c>
      <c r="I125" s="10" t="n">
        <v>14.3</v>
      </c>
    </row>
    <row r="126" customFormat="false" ht="15" hidden="false" customHeight="false" outlineLevel="0" collapsed="false">
      <c r="A126" s="8" t="n">
        <v>16</v>
      </c>
      <c r="B126" s="8" t="s">
        <v>76</v>
      </c>
      <c r="C126" s="8" t="s">
        <v>57</v>
      </c>
      <c r="D126" s="5" t="s">
        <v>79</v>
      </c>
      <c r="E126" s="9" t="n">
        <v>419</v>
      </c>
      <c r="F126" s="10" t="n">
        <v>5.3</v>
      </c>
      <c r="G126" s="10" t="n">
        <v>1.4</v>
      </c>
      <c r="H126" s="10" t="n">
        <v>100.7</v>
      </c>
      <c r="I126" s="10" t="n">
        <v>4.7</v>
      </c>
    </row>
    <row r="127" customFormat="false" ht="15" hidden="false" customHeight="false" outlineLevel="0" collapsed="false">
      <c r="A127" s="8" t="n">
        <v>16</v>
      </c>
      <c r="B127" s="8" t="s">
        <v>76</v>
      </c>
      <c r="C127" s="8" t="s">
        <v>315</v>
      </c>
      <c r="D127" s="5" t="s">
        <v>316</v>
      </c>
      <c r="E127" s="9" t="n">
        <v>726</v>
      </c>
      <c r="F127" s="10" t="n">
        <v>42.2</v>
      </c>
      <c r="G127" s="10" t="n">
        <v>19.3</v>
      </c>
      <c r="H127" s="10" t="n">
        <v>99</v>
      </c>
      <c r="I127" s="10" t="n">
        <v>12</v>
      </c>
    </row>
    <row r="128" customFormat="false" ht="15" hidden="false" customHeight="false" outlineLevel="0" collapsed="false">
      <c r="A128" s="8" t="n">
        <v>16</v>
      </c>
      <c r="B128" s="8" t="s">
        <v>76</v>
      </c>
      <c r="C128" s="8" t="s">
        <v>59</v>
      </c>
      <c r="D128" s="5" t="s">
        <v>93</v>
      </c>
      <c r="E128" s="9" t="n">
        <v>603</v>
      </c>
      <c r="F128" s="10" t="n">
        <v>34.2</v>
      </c>
      <c r="G128" s="10" t="n">
        <v>1.4</v>
      </c>
      <c r="H128" s="10" t="n">
        <v>112.3</v>
      </c>
      <c r="I128" s="10" t="n">
        <v>1.3</v>
      </c>
    </row>
    <row r="129" customFormat="false" ht="15" hidden="false" customHeight="false" outlineLevel="0" collapsed="false">
      <c r="A129" s="8" t="n">
        <v>16</v>
      </c>
      <c r="B129" s="8" t="s">
        <v>76</v>
      </c>
      <c r="C129" s="8" t="s">
        <v>317</v>
      </c>
      <c r="D129" s="5" t="s">
        <v>318</v>
      </c>
      <c r="E129" s="9" t="n">
        <v>914</v>
      </c>
      <c r="F129" s="10" t="n">
        <v>48</v>
      </c>
      <c r="G129" s="10" t="n">
        <v>19.4</v>
      </c>
      <c r="H129" s="10" t="n">
        <v>144.4</v>
      </c>
      <c r="I129" s="10" t="n">
        <v>22.1</v>
      </c>
    </row>
    <row r="130" customFormat="false" ht="15" hidden="false" customHeight="false" outlineLevel="0" collapsed="false">
      <c r="A130" s="8" t="n">
        <v>16</v>
      </c>
      <c r="B130" s="8" t="s">
        <v>76</v>
      </c>
      <c r="C130" s="8" t="s">
        <v>61</v>
      </c>
      <c r="D130" s="5" t="s">
        <v>95</v>
      </c>
      <c r="E130" s="9" t="n">
        <v>250</v>
      </c>
      <c r="F130" s="10" t="n">
        <v>21.4</v>
      </c>
      <c r="G130" s="10" t="n">
        <v>0.8</v>
      </c>
      <c r="H130" s="10" t="n">
        <v>40.2</v>
      </c>
      <c r="I130" s="10" t="n">
        <v>0.4</v>
      </c>
    </row>
    <row r="131" customFormat="false" ht="15" hidden="false" customHeight="false" outlineLevel="0" collapsed="false">
      <c r="A131" s="8" t="n">
        <v>16</v>
      </c>
      <c r="B131" s="8" t="s">
        <v>76</v>
      </c>
      <c r="C131" s="8" t="s">
        <v>62</v>
      </c>
      <c r="D131" s="5" t="s">
        <v>136</v>
      </c>
      <c r="E131" s="9" t="n">
        <v>294</v>
      </c>
      <c r="F131" s="10" t="n">
        <v>12.5</v>
      </c>
      <c r="G131" s="10" t="n">
        <v>24.5</v>
      </c>
      <c r="H131" s="10" t="n">
        <v>7.5</v>
      </c>
      <c r="I131" s="10" t="n">
        <v>3</v>
      </c>
    </row>
    <row r="132" customFormat="false" ht="15" hidden="false" customHeight="false" outlineLevel="0" collapsed="false">
      <c r="A132" s="3"/>
      <c r="B132" s="3"/>
      <c r="C132" s="15" t="s">
        <v>243</v>
      </c>
      <c r="D132" s="15" t="s">
        <v>319</v>
      </c>
      <c r="E132" s="16" t="n">
        <f aca="false">SUM(E125:E131)</f>
        <v>3943</v>
      </c>
      <c r="F132" s="17" t="n">
        <f aca="false">SUM(F125:F131)</f>
        <v>208.4</v>
      </c>
      <c r="G132" s="17" t="n">
        <f aca="false">SUM(G125:G131)</f>
        <v>90.7</v>
      </c>
      <c r="H132" s="17" t="n">
        <f aca="false">SUM(H125:H131)</f>
        <v>590.2</v>
      </c>
      <c r="I132" s="17" t="n">
        <f aca="false">SUM(I125:I131)</f>
        <v>57.8</v>
      </c>
    </row>
    <row r="134" customFormat="false" ht="15" hidden="false" customHeight="false" outlineLevel="0" collapsed="false">
      <c r="A134" s="8" t="n">
        <v>17</v>
      </c>
      <c r="B134" s="8" t="s">
        <v>84</v>
      </c>
      <c r="C134" s="8" t="s">
        <v>56</v>
      </c>
      <c r="D134" s="5" t="s">
        <v>78</v>
      </c>
      <c r="E134" s="9" t="n">
        <v>630</v>
      </c>
      <c r="F134" s="10" t="n">
        <v>34.2</v>
      </c>
      <c r="G134" s="10" t="n">
        <v>18.1</v>
      </c>
      <c r="H134" s="10" t="n">
        <v>80.6</v>
      </c>
      <c r="I134" s="10" t="n">
        <v>11.9</v>
      </c>
    </row>
    <row r="135" customFormat="false" ht="15" hidden="false" customHeight="false" outlineLevel="0" collapsed="false">
      <c r="A135" s="8" t="n">
        <v>17</v>
      </c>
      <c r="B135" s="8" t="s">
        <v>84</v>
      </c>
      <c r="C135" s="8" t="s">
        <v>57</v>
      </c>
      <c r="D135" s="5" t="s">
        <v>79</v>
      </c>
      <c r="E135" s="9" t="n">
        <v>419</v>
      </c>
      <c r="F135" s="10" t="n">
        <v>5.3</v>
      </c>
      <c r="G135" s="10" t="n">
        <v>1.4</v>
      </c>
      <c r="H135" s="10" t="n">
        <v>100.7</v>
      </c>
      <c r="I135" s="10" t="n">
        <v>4.7</v>
      </c>
    </row>
    <row r="136" customFormat="false" ht="15" hidden="false" customHeight="false" outlineLevel="0" collapsed="false">
      <c r="A136" s="8" t="n">
        <v>17</v>
      </c>
      <c r="B136" s="8" t="s">
        <v>84</v>
      </c>
      <c r="C136" s="8" t="s">
        <v>320</v>
      </c>
      <c r="D136" s="5" t="s">
        <v>321</v>
      </c>
      <c r="E136" s="9" t="n">
        <v>942</v>
      </c>
      <c r="F136" s="10" t="n">
        <v>48.6</v>
      </c>
      <c r="G136" s="10" t="n">
        <v>35.6</v>
      </c>
      <c r="H136" s="10" t="n">
        <v>107.1</v>
      </c>
      <c r="I136" s="10" t="n">
        <v>9.1</v>
      </c>
    </row>
    <row r="137" customFormat="false" ht="15" hidden="false" customHeight="false" outlineLevel="0" collapsed="false">
      <c r="A137" s="8" t="n">
        <v>17</v>
      </c>
      <c r="B137" s="8" t="s">
        <v>84</v>
      </c>
      <c r="C137" s="8" t="s">
        <v>59</v>
      </c>
      <c r="D137" s="5" t="s">
        <v>81</v>
      </c>
      <c r="E137" s="9" t="n">
        <v>546</v>
      </c>
      <c r="F137" s="10" t="n">
        <v>33</v>
      </c>
      <c r="G137" s="10" t="n">
        <v>6.4</v>
      </c>
      <c r="H137" s="10" t="n">
        <v>88</v>
      </c>
      <c r="I137" s="10" t="n">
        <v>9.5</v>
      </c>
    </row>
    <row r="138" customFormat="false" ht="15" hidden="false" customHeight="false" outlineLevel="0" collapsed="false">
      <c r="A138" s="8" t="n">
        <v>17</v>
      </c>
      <c r="B138" s="8" t="s">
        <v>84</v>
      </c>
      <c r="C138" s="8" t="s">
        <v>322</v>
      </c>
      <c r="D138" s="5" t="s">
        <v>323</v>
      </c>
      <c r="E138" s="9" t="n">
        <v>1065</v>
      </c>
      <c r="F138" s="10" t="n">
        <v>71.3</v>
      </c>
      <c r="G138" s="10" t="n">
        <v>24.9</v>
      </c>
      <c r="H138" s="10" t="n">
        <v>139.1</v>
      </c>
      <c r="I138" s="10" t="n">
        <v>11.3</v>
      </c>
    </row>
    <row r="139" customFormat="false" ht="15" hidden="false" customHeight="false" outlineLevel="0" collapsed="false">
      <c r="A139" s="8" t="n">
        <v>17</v>
      </c>
      <c r="B139" s="8" t="s">
        <v>84</v>
      </c>
      <c r="C139" s="8" t="s">
        <v>61</v>
      </c>
      <c r="D139" s="5" t="s">
        <v>100</v>
      </c>
      <c r="E139" s="9" t="n">
        <v>439</v>
      </c>
      <c r="F139" s="10" t="n">
        <v>16.3</v>
      </c>
      <c r="G139" s="10" t="n">
        <v>16.4</v>
      </c>
      <c r="H139" s="10" t="n">
        <v>58.1</v>
      </c>
      <c r="I139" s="10" t="n">
        <v>3.2</v>
      </c>
    </row>
    <row r="140" customFormat="false" ht="15" hidden="false" customHeight="false" outlineLevel="0" collapsed="false">
      <c r="A140" s="8" t="n">
        <v>17</v>
      </c>
      <c r="B140" s="8" t="s">
        <v>84</v>
      </c>
      <c r="C140" s="8" t="s">
        <v>62</v>
      </c>
      <c r="D140" s="5" t="s">
        <v>139</v>
      </c>
      <c r="E140" s="9" t="n">
        <v>71</v>
      </c>
      <c r="F140" s="10" t="n">
        <v>0.4</v>
      </c>
      <c r="G140" s="10" t="n">
        <v>5.1</v>
      </c>
      <c r="H140" s="10" t="n">
        <v>6.2</v>
      </c>
      <c r="I140" s="10" t="n">
        <v>0.1</v>
      </c>
    </row>
    <row r="141" customFormat="false" ht="15" hidden="false" customHeight="false" outlineLevel="0" collapsed="false">
      <c r="A141" s="3"/>
      <c r="B141" s="3"/>
      <c r="C141" s="15" t="s">
        <v>243</v>
      </c>
      <c r="D141" s="15" t="s">
        <v>324</v>
      </c>
      <c r="E141" s="16" t="n">
        <f aca="false">SUM(E134:E140)</f>
        <v>4112</v>
      </c>
      <c r="F141" s="17" t="n">
        <f aca="false">SUM(F134:F140)</f>
        <v>209.1</v>
      </c>
      <c r="G141" s="17" t="n">
        <f aca="false">SUM(G134:G140)</f>
        <v>107.9</v>
      </c>
      <c r="H141" s="17" t="n">
        <f aca="false">SUM(H134:H140)</f>
        <v>579.8</v>
      </c>
      <c r="I141" s="17" t="n">
        <f aca="false">SUM(I134:I140)</f>
        <v>49.8</v>
      </c>
    </row>
    <row r="143" customFormat="false" ht="15" hidden="false" customHeight="false" outlineLevel="0" collapsed="false">
      <c r="A143" s="8" t="n">
        <v>18</v>
      </c>
      <c r="B143" s="8" t="s">
        <v>91</v>
      </c>
      <c r="C143" s="8" t="s">
        <v>56</v>
      </c>
      <c r="D143" s="5" t="s">
        <v>85</v>
      </c>
      <c r="E143" s="9" t="n">
        <v>687</v>
      </c>
      <c r="F143" s="10" t="n">
        <v>43</v>
      </c>
      <c r="G143" s="10" t="n">
        <v>17.3</v>
      </c>
      <c r="H143" s="10" t="n">
        <v>92.7</v>
      </c>
      <c r="I143" s="10" t="n">
        <v>5.5</v>
      </c>
    </row>
    <row r="144" customFormat="false" ht="15" hidden="false" customHeight="false" outlineLevel="0" collapsed="false">
      <c r="A144" s="8" t="n">
        <v>18</v>
      </c>
      <c r="B144" s="8" t="s">
        <v>91</v>
      </c>
      <c r="C144" s="8" t="s">
        <v>57</v>
      </c>
      <c r="D144" s="5" t="s">
        <v>79</v>
      </c>
      <c r="E144" s="9" t="n">
        <v>419</v>
      </c>
      <c r="F144" s="10" t="n">
        <v>5.3</v>
      </c>
      <c r="G144" s="10" t="n">
        <v>1.4</v>
      </c>
      <c r="H144" s="10" t="n">
        <v>100.7</v>
      </c>
      <c r="I144" s="10" t="n">
        <v>4.7</v>
      </c>
    </row>
    <row r="145" customFormat="false" ht="15" hidden="false" customHeight="false" outlineLevel="0" collapsed="false">
      <c r="A145" s="8" t="n">
        <v>18</v>
      </c>
      <c r="B145" s="8" t="s">
        <v>91</v>
      </c>
      <c r="C145" s="8" t="s">
        <v>325</v>
      </c>
      <c r="D145" s="5" t="s">
        <v>326</v>
      </c>
      <c r="E145" s="9" t="n">
        <v>817</v>
      </c>
      <c r="F145" s="10" t="n">
        <v>45.5</v>
      </c>
      <c r="G145" s="10" t="n">
        <v>10.3</v>
      </c>
      <c r="H145" s="10" t="n">
        <v>135.5</v>
      </c>
      <c r="I145" s="10" t="n">
        <v>16.1</v>
      </c>
    </row>
    <row r="146" customFormat="false" ht="15" hidden="false" customHeight="false" outlineLevel="0" collapsed="false">
      <c r="A146" s="8" t="n">
        <v>18</v>
      </c>
      <c r="B146" s="8" t="s">
        <v>91</v>
      </c>
      <c r="C146" s="8" t="s">
        <v>59</v>
      </c>
      <c r="D146" s="5" t="s">
        <v>87</v>
      </c>
      <c r="E146" s="9" t="n">
        <v>484</v>
      </c>
      <c r="F146" s="10" t="n">
        <v>28.1</v>
      </c>
      <c r="G146" s="10" t="n">
        <v>5.5</v>
      </c>
      <c r="H146" s="10" t="n">
        <v>82.7</v>
      </c>
      <c r="I146" s="10" t="n">
        <v>3.5</v>
      </c>
    </row>
    <row r="147" customFormat="false" ht="15" hidden="false" customHeight="false" outlineLevel="0" collapsed="false">
      <c r="A147" s="8" t="n">
        <v>18</v>
      </c>
      <c r="B147" s="8" t="s">
        <v>91</v>
      </c>
      <c r="C147" s="8" t="s">
        <v>327</v>
      </c>
      <c r="D147" s="5" t="s">
        <v>328</v>
      </c>
      <c r="E147" s="9" t="n">
        <v>1046</v>
      </c>
      <c r="F147" s="10" t="n">
        <v>59.8</v>
      </c>
      <c r="G147" s="10" t="n">
        <v>23.6</v>
      </c>
      <c r="H147" s="10" t="n">
        <v>146.7</v>
      </c>
      <c r="I147" s="10" t="n">
        <v>12.2</v>
      </c>
    </row>
    <row r="148" customFormat="false" ht="15" hidden="false" customHeight="false" outlineLevel="0" collapsed="false">
      <c r="A148" s="8" t="n">
        <v>18</v>
      </c>
      <c r="B148" s="8" t="s">
        <v>91</v>
      </c>
      <c r="C148" s="8" t="s">
        <v>61</v>
      </c>
      <c r="D148" s="5" t="s">
        <v>105</v>
      </c>
      <c r="E148" s="9" t="n">
        <v>279</v>
      </c>
      <c r="F148" s="10" t="n">
        <v>25.6</v>
      </c>
      <c r="G148" s="10" t="n">
        <v>2</v>
      </c>
      <c r="H148" s="10" t="n">
        <v>42.2</v>
      </c>
      <c r="I148" s="10" t="n">
        <v>2.7</v>
      </c>
    </row>
    <row r="149" customFormat="false" ht="15" hidden="false" customHeight="false" outlineLevel="0" collapsed="false">
      <c r="A149" s="8" t="n">
        <v>18</v>
      </c>
      <c r="B149" s="8" t="s">
        <v>91</v>
      </c>
      <c r="C149" s="8" t="s">
        <v>62</v>
      </c>
      <c r="D149" s="5" t="s">
        <v>96</v>
      </c>
      <c r="E149" s="9" t="n">
        <v>265</v>
      </c>
      <c r="F149" s="10" t="n">
        <v>11.2</v>
      </c>
      <c r="G149" s="10" t="n">
        <v>22.1</v>
      </c>
      <c r="H149" s="10" t="n">
        <v>6.8</v>
      </c>
      <c r="I149" s="10" t="n">
        <v>2.7</v>
      </c>
    </row>
    <row r="150" customFormat="false" ht="15" hidden="false" customHeight="false" outlineLevel="0" collapsed="false">
      <c r="A150" s="3"/>
      <c r="B150" s="3"/>
      <c r="C150" s="15" t="s">
        <v>243</v>
      </c>
      <c r="D150" s="15" t="s">
        <v>329</v>
      </c>
      <c r="E150" s="16" t="n">
        <f aca="false">SUM(E143:E149)</f>
        <v>3997</v>
      </c>
      <c r="F150" s="17" t="n">
        <f aca="false">SUM(F143:F149)</f>
        <v>218.5</v>
      </c>
      <c r="G150" s="17" t="n">
        <f aca="false">SUM(G143:G149)</f>
        <v>82.2</v>
      </c>
      <c r="H150" s="17" t="n">
        <f aca="false">SUM(H143:H149)</f>
        <v>607.3</v>
      </c>
      <c r="I150" s="17" t="n">
        <f aca="false">SUM(I143:I149)</f>
        <v>47.4</v>
      </c>
    </row>
    <row r="152" customFormat="false" ht="15" hidden="false" customHeight="false" outlineLevel="0" collapsed="false">
      <c r="A152" s="8" t="n">
        <v>19</v>
      </c>
      <c r="B152" s="8" t="s">
        <v>97</v>
      </c>
      <c r="C152" s="8" t="s">
        <v>56</v>
      </c>
      <c r="D152" s="5" t="s">
        <v>70</v>
      </c>
      <c r="E152" s="9" t="n">
        <v>737</v>
      </c>
      <c r="F152" s="10" t="n">
        <v>44.8</v>
      </c>
      <c r="G152" s="10" t="n">
        <v>23.9</v>
      </c>
      <c r="H152" s="10" t="n">
        <v>86.1</v>
      </c>
      <c r="I152" s="10" t="n">
        <v>14.3</v>
      </c>
    </row>
    <row r="153" customFormat="false" ht="15" hidden="false" customHeight="false" outlineLevel="0" collapsed="false">
      <c r="A153" s="8" t="n">
        <v>19</v>
      </c>
      <c r="B153" s="8" t="s">
        <v>97</v>
      </c>
      <c r="C153" s="8" t="s">
        <v>330</v>
      </c>
      <c r="D153" s="5" t="s">
        <v>331</v>
      </c>
      <c r="E153" s="9" t="n">
        <v>792</v>
      </c>
      <c r="F153" s="10" t="n">
        <v>52.4</v>
      </c>
      <c r="G153" s="10" t="n">
        <v>7.9</v>
      </c>
      <c r="H153" s="10" t="n">
        <v>127.9</v>
      </c>
      <c r="I153" s="10" t="n">
        <v>11.4</v>
      </c>
    </row>
    <row r="154" customFormat="false" ht="15" hidden="false" customHeight="false" outlineLevel="0" collapsed="false">
      <c r="A154" s="8" t="n">
        <v>19</v>
      </c>
      <c r="B154" s="8" t="s">
        <v>97</v>
      </c>
      <c r="C154" s="8" t="s">
        <v>332</v>
      </c>
      <c r="D154" s="5" t="s">
        <v>333</v>
      </c>
      <c r="E154" s="9" t="n">
        <v>896</v>
      </c>
      <c r="F154" s="10" t="n">
        <v>32.3</v>
      </c>
      <c r="G154" s="10" t="n">
        <v>26.8</v>
      </c>
      <c r="H154" s="10" t="n">
        <v>137.2</v>
      </c>
      <c r="I154" s="10" t="n">
        <v>23.1</v>
      </c>
    </row>
    <row r="155" customFormat="false" ht="15" hidden="false" customHeight="false" outlineLevel="0" collapsed="false">
      <c r="A155" s="8" t="n">
        <v>19</v>
      </c>
      <c r="B155" s="8" t="s">
        <v>97</v>
      </c>
      <c r="C155" s="8" t="s">
        <v>61</v>
      </c>
      <c r="D155" s="5" t="s">
        <v>74</v>
      </c>
      <c r="E155" s="9" t="n">
        <v>334</v>
      </c>
      <c r="F155" s="10" t="n">
        <v>26.1</v>
      </c>
      <c r="G155" s="10" t="n">
        <v>2.2</v>
      </c>
      <c r="H155" s="10" t="n">
        <v>55.6</v>
      </c>
      <c r="I155" s="10" t="n">
        <v>2.6</v>
      </c>
    </row>
    <row r="156" customFormat="false" ht="23.85" hidden="false" customHeight="false" outlineLevel="0" collapsed="false">
      <c r="A156" s="8" t="n">
        <v>19</v>
      </c>
      <c r="B156" s="8" t="s">
        <v>97</v>
      </c>
      <c r="C156" s="8" t="s">
        <v>62</v>
      </c>
      <c r="D156" s="5" t="s">
        <v>144</v>
      </c>
      <c r="E156" s="9" t="n">
        <v>1114</v>
      </c>
      <c r="F156" s="10" t="n">
        <v>24.6</v>
      </c>
      <c r="G156" s="10" t="n">
        <v>32.4</v>
      </c>
      <c r="H156" s="10" t="n">
        <v>178.7</v>
      </c>
      <c r="I156" s="10" t="n">
        <v>2.7</v>
      </c>
    </row>
    <row r="157" customFormat="false" ht="15" hidden="false" customHeight="false" outlineLevel="0" collapsed="false">
      <c r="A157" s="3"/>
      <c r="B157" s="3"/>
      <c r="C157" s="15" t="s">
        <v>243</v>
      </c>
      <c r="D157" s="15" t="s">
        <v>334</v>
      </c>
      <c r="E157" s="16" t="n">
        <f aca="false">SUM(E152:E156)</f>
        <v>3873</v>
      </c>
      <c r="F157" s="17" t="n">
        <f aca="false">SUM(F152:F156)</f>
        <v>180.2</v>
      </c>
      <c r="G157" s="17" t="n">
        <f aca="false">SUM(G152:G156)</f>
        <v>93.2</v>
      </c>
      <c r="H157" s="17" t="n">
        <f aca="false">SUM(H152:H156)</f>
        <v>585.5</v>
      </c>
      <c r="I157" s="17" t="n">
        <f aca="false">SUM(I152:I156)</f>
        <v>54.1</v>
      </c>
    </row>
    <row r="159" customFormat="false" ht="15" hidden="false" customHeight="false" outlineLevel="0" collapsed="false">
      <c r="A159" s="8" t="n">
        <v>20</v>
      </c>
      <c r="B159" s="8" t="s">
        <v>102</v>
      </c>
      <c r="C159" s="8" t="s">
        <v>56</v>
      </c>
      <c r="D159" s="5" t="s">
        <v>78</v>
      </c>
      <c r="E159" s="9" t="n">
        <v>630</v>
      </c>
      <c r="F159" s="10" t="n">
        <v>34.2</v>
      </c>
      <c r="G159" s="10" t="n">
        <v>18.1</v>
      </c>
      <c r="H159" s="10" t="n">
        <v>80.6</v>
      </c>
      <c r="I159" s="10" t="n">
        <v>11.9</v>
      </c>
    </row>
    <row r="160" customFormat="false" ht="15" hidden="false" customHeight="false" outlineLevel="0" collapsed="false">
      <c r="A160" s="8" t="n">
        <v>20</v>
      </c>
      <c r="B160" s="8" t="s">
        <v>102</v>
      </c>
      <c r="C160" s="8" t="s">
        <v>57</v>
      </c>
      <c r="D160" s="5" t="s">
        <v>79</v>
      </c>
      <c r="E160" s="9" t="n">
        <v>419</v>
      </c>
      <c r="F160" s="10" t="n">
        <v>5.3</v>
      </c>
      <c r="G160" s="10" t="n">
        <v>1.4</v>
      </c>
      <c r="H160" s="10" t="n">
        <v>100.7</v>
      </c>
      <c r="I160" s="10" t="n">
        <v>4.7</v>
      </c>
    </row>
    <row r="161" customFormat="false" ht="15" hidden="false" customHeight="false" outlineLevel="0" collapsed="false">
      <c r="A161" s="8" t="n">
        <v>20</v>
      </c>
      <c r="B161" s="8" t="s">
        <v>102</v>
      </c>
      <c r="C161" s="8" t="s">
        <v>335</v>
      </c>
      <c r="D161" s="5" t="s">
        <v>336</v>
      </c>
      <c r="E161" s="9" t="n">
        <v>803</v>
      </c>
      <c r="F161" s="10" t="n">
        <v>43.9</v>
      </c>
      <c r="G161" s="10" t="n">
        <v>33.2</v>
      </c>
      <c r="H161" s="10" t="n">
        <v>79.4</v>
      </c>
      <c r="I161" s="10" t="n">
        <v>7.4</v>
      </c>
    </row>
    <row r="162" customFormat="false" ht="15" hidden="false" customHeight="false" outlineLevel="0" collapsed="false">
      <c r="A162" s="8" t="n">
        <v>20</v>
      </c>
      <c r="B162" s="8" t="s">
        <v>102</v>
      </c>
      <c r="C162" s="8" t="s">
        <v>59</v>
      </c>
      <c r="D162" s="5" t="s">
        <v>81</v>
      </c>
      <c r="E162" s="9" t="n">
        <v>546</v>
      </c>
      <c r="F162" s="10" t="n">
        <v>33</v>
      </c>
      <c r="G162" s="10" t="n">
        <v>6.4</v>
      </c>
      <c r="H162" s="10" t="n">
        <v>88</v>
      </c>
      <c r="I162" s="10" t="n">
        <v>9.5</v>
      </c>
    </row>
    <row r="163" customFormat="false" ht="15" hidden="false" customHeight="false" outlineLevel="0" collapsed="false">
      <c r="A163" s="8" t="n">
        <v>20</v>
      </c>
      <c r="B163" s="8" t="s">
        <v>102</v>
      </c>
      <c r="C163" s="8" t="s">
        <v>337</v>
      </c>
      <c r="D163" s="5" t="s">
        <v>338</v>
      </c>
      <c r="E163" s="9" t="n">
        <v>947</v>
      </c>
      <c r="F163" s="10" t="n">
        <v>68.1</v>
      </c>
      <c r="G163" s="10" t="n">
        <v>22.7</v>
      </c>
      <c r="H163" s="10" t="n">
        <v>115.2</v>
      </c>
      <c r="I163" s="10" t="n">
        <v>10.1</v>
      </c>
    </row>
    <row r="164" customFormat="false" ht="15" hidden="false" customHeight="false" outlineLevel="0" collapsed="false">
      <c r="A164" s="8" t="n">
        <v>20</v>
      </c>
      <c r="B164" s="8" t="s">
        <v>102</v>
      </c>
      <c r="C164" s="8" t="s">
        <v>61</v>
      </c>
      <c r="D164" s="5" t="s">
        <v>83</v>
      </c>
      <c r="E164" s="9" t="n">
        <v>305</v>
      </c>
      <c r="F164" s="10" t="n">
        <v>27.1</v>
      </c>
      <c r="G164" s="10" t="n">
        <v>1.9</v>
      </c>
      <c r="H164" s="10" t="n">
        <v>47.5</v>
      </c>
      <c r="I164" s="10" t="n">
        <v>2.4</v>
      </c>
    </row>
    <row r="165" customFormat="false" ht="15" hidden="false" customHeight="false" outlineLevel="0" collapsed="false">
      <c r="A165" s="8" t="n">
        <v>20</v>
      </c>
      <c r="B165" s="8" t="s">
        <v>102</v>
      </c>
      <c r="C165" s="8" t="s">
        <v>62</v>
      </c>
      <c r="D165" s="5" t="s">
        <v>147</v>
      </c>
      <c r="E165" s="9" t="n">
        <v>301</v>
      </c>
      <c r="F165" s="10" t="n">
        <v>4.6</v>
      </c>
      <c r="G165" s="10" t="n">
        <v>3.4</v>
      </c>
      <c r="H165" s="10" t="n">
        <v>70.3</v>
      </c>
      <c r="I165" s="10" t="n">
        <v>8.2</v>
      </c>
    </row>
    <row r="166" customFormat="false" ht="15" hidden="false" customHeight="false" outlineLevel="0" collapsed="false">
      <c r="A166" s="3"/>
      <c r="B166" s="3"/>
      <c r="C166" s="15" t="s">
        <v>243</v>
      </c>
      <c r="D166" s="15" t="s">
        <v>339</v>
      </c>
      <c r="E166" s="16" t="n">
        <f aca="false">SUM(E159:E165)</f>
        <v>3951</v>
      </c>
      <c r="F166" s="17" t="n">
        <f aca="false">SUM(F159:F165)</f>
        <v>216.2</v>
      </c>
      <c r="G166" s="17" t="n">
        <f aca="false">SUM(G159:G165)</f>
        <v>87.1</v>
      </c>
      <c r="H166" s="17" t="n">
        <f aca="false">SUM(H159:H165)</f>
        <v>581.7</v>
      </c>
      <c r="I166" s="17" t="n">
        <f aca="false">SUM(I159:I165)</f>
        <v>54.2</v>
      </c>
    </row>
    <row r="168" customFormat="false" ht="15" hidden="false" customHeight="false" outlineLevel="0" collapsed="false">
      <c r="A168" s="8" t="n">
        <v>21</v>
      </c>
      <c r="B168" s="8" t="s">
        <v>107</v>
      </c>
      <c r="C168" s="8" t="s">
        <v>56</v>
      </c>
      <c r="D168" s="5" t="s">
        <v>85</v>
      </c>
      <c r="E168" s="9" t="n">
        <v>687</v>
      </c>
      <c r="F168" s="10" t="n">
        <v>43</v>
      </c>
      <c r="G168" s="10" t="n">
        <v>17.3</v>
      </c>
      <c r="H168" s="10" t="n">
        <v>92.7</v>
      </c>
      <c r="I168" s="10" t="n">
        <v>5.5</v>
      </c>
    </row>
    <row r="169" customFormat="false" ht="15" hidden="false" customHeight="false" outlineLevel="0" collapsed="false">
      <c r="A169" s="8" t="n">
        <v>21</v>
      </c>
      <c r="B169" s="8" t="s">
        <v>107</v>
      </c>
      <c r="C169" s="8" t="s">
        <v>57</v>
      </c>
      <c r="D169" s="5" t="s">
        <v>79</v>
      </c>
      <c r="E169" s="9" t="n">
        <v>419</v>
      </c>
      <c r="F169" s="10" t="n">
        <v>5.3</v>
      </c>
      <c r="G169" s="10" t="n">
        <v>1.4</v>
      </c>
      <c r="H169" s="10" t="n">
        <v>100.7</v>
      </c>
      <c r="I169" s="10" t="n">
        <v>4.7</v>
      </c>
    </row>
    <row r="170" customFormat="false" ht="15" hidden="false" customHeight="false" outlineLevel="0" collapsed="false">
      <c r="A170" s="8" t="n">
        <v>21</v>
      </c>
      <c r="B170" s="8" t="s">
        <v>107</v>
      </c>
      <c r="C170" s="8" t="s">
        <v>340</v>
      </c>
      <c r="D170" s="5" t="s">
        <v>341</v>
      </c>
      <c r="E170" s="9" t="n">
        <v>794</v>
      </c>
      <c r="F170" s="10" t="n">
        <v>52.1</v>
      </c>
      <c r="G170" s="10" t="n">
        <v>23.3</v>
      </c>
      <c r="H170" s="10" t="n">
        <v>93.5</v>
      </c>
      <c r="I170" s="10" t="n">
        <v>15.7</v>
      </c>
    </row>
    <row r="171" customFormat="false" ht="15" hidden="false" customHeight="false" outlineLevel="0" collapsed="false">
      <c r="A171" s="8" t="n">
        <v>21</v>
      </c>
      <c r="B171" s="8" t="s">
        <v>107</v>
      </c>
      <c r="C171" s="8" t="s">
        <v>59</v>
      </c>
      <c r="D171" s="5" t="s">
        <v>87</v>
      </c>
      <c r="E171" s="9" t="n">
        <v>484</v>
      </c>
      <c r="F171" s="10" t="n">
        <v>28.1</v>
      </c>
      <c r="G171" s="10" t="n">
        <v>5.5</v>
      </c>
      <c r="H171" s="10" t="n">
        <v>82.7</v>
      </c>
      <c r="I171" s="10" t="n">
        <v>3.5</v>
      </c>
    </row>
    <row r="172" customFormat="false" ht="15" hidden="false" customHeight="false" outlineLevel="0" collapsed="false">
      <c r="A172" s="8" t="n">
        <v>21</v>
      </c>
      <c r="B172" s="8" t="s">
        <v>107</v>
      </c>
      <c r="C172" s="8" t="s">
        <v>342</v>
      </c>
      <c r="D172" s="5" t="s">
        <v>343</v>
      </c>
      <c r="E172" s="9" t="n">
        <v>1044</v>
      </c>
      <c r="F172" s="10" t="n">
        <v>58.3</v>
      </c>
      <c r="G172" s="10" t="n">
        <v>32.3</v>
      </c>
      <c r="H172" s="10" t="n">
        <v>130</v>
      </c>
      <c r="I172" s="10" t="n">
        <v>10.9</v>
      </c>
    </row>
    <row r="173" customFormat="false" ht="15" hidden="false" customHeight="false" outlineLevel="0" collapsed="false">
      <c r="A173" s="8" t="n">
        <v>21</v>
      </c>
      <c r="B173" s="8" t="s">
        <v>107</v>
      </c>
      <c r="C173" s="8" t="s">
        <v>61</v>
      </c>
      <c r="D173" s="5" t="s">
        <v>89</v>
      </c>
      <c r="E173" s="9" t="n">
        <v>297</v>
      </c>
      <c r="F173" s="10" t="n">
        <v>23.9</v>
      </c>
      <c r="G173" s="10" t="n">
        <v>10.2</v>
      </c>
      <c r="H173" s="10" t="n">
        <v>30.2</v>
      </c>
      <c r="I173" s="10" t="n">
        <v>1.1</v>
      </c>
    </row>
    <row r="174" customFormat="false" ht="15" hidden="false" customHeight="false" outlineLevel="0" collapsed="false">
      <c r="A174" s="8" t="n">
        <v>21</v>
      </c>
      <c r="B174" s="8" t="s">
        <v>107</v>
      </c>
      <c r="C174" s="8" t="s">
        <v>62</v>
      </c>
      <c r="D174" s="5" t="s">
        <v>150</v>
      </c>
      <c r="E174" s="9" t="n">
        <v>383</v>
      </c>
      <c r="F174" s="10" t="n">
        <v>3.3</v>
      </c>
      <c r="G174" s="10" t="n">
        <v>20.9</v>
      </c>
      <c r="H174" s="10" t="n">
        <v>47.2</v>
      </c>
      <c r="I174" s="10" t="n">
        <v>0.9</v>
      </c>
    </row>
    <row r="175" customFormat="false" ht="15" hidden="false" customHeight="false" outlineLevel="0" collapsed="false">
      <c r="A175" s="3"/>
      <c r="B175" s="3"/>
      <c r="C175" s="15" t="s">
        <v>243</v>
      </c>
      <c r="D175" s="15" t="s">
        <v>344</v>
      </c>
      <c r="E175" s="16" t="n">
        <f aca="false">SUM(E168:E174)</f>
        <v>4108</v>
      </c>
      <c r="F175" s="17" t="n">
        <f aca="false">SUM(F168:F174)</f>
        <v>214</v>
      </c>
      <c r="G175" s="17" t="n">
        <f aca="false">SUM(G168:G174)</f>
        <v>110.9</v>
      </c>
      <c r="H175" s="17" t="n">
        <f aca="false">SUM(H168:H174)</f>
        <v>577</v>
      </c>
      <c r="I175" s="17" t="n">
        <f aca="false">SUM(I168:I174)</f>
        <v>42.3</v>
      </c>
    </row>
    <row r="177" customFormat="false" ht="15" hidden="false" customHeight="false" outlineLevel="0" collapsed="false">
      <c r="A177" s="8" t="n">
        <v>22</v>
      </c>
      <c r="B177" s="8" t="s">
        <v>68</v>
      </c>
      <c r="C177" s="8" t="s">
        <v>56</v>
      </c>
      <c r="D177" s="5" t="s">
        <v>70</v>
      </c>
      <c r="E177" s="9" t="n">
        <v>737</v>
      </c>
      <c r="F177" s="10" t="n">
        <v>44.8</v>
      </c>
      <c r="G177" s="10" t="n">
        <v>23.9</v>
      </c>
      <c r="H177" s="10" t="n">
        <v>86.1</v>
      </c>
      <c r="I177" s="10" t="n">
        <v>14.3</v>
      </c>
    </row>
    <row r="178" customFormat="false" ht="15" hidden="false" customHeight="false" outlineLevel="0" collapsed="false">
      <c r="A178" s="8" t="n">
        <v>22</v>
      </c>
      <c r="B178" s="8" t="s">
        <v>68</v>
      </c>
      <c r="C178" s="8" t="s">
        <v>345</v>
      </c>
      <c r="D178" s="5" t="s">
        <v>346</v>
      </c>
      <c r="E178" s="9" t="n">
        <v>836</v>
      </c>
      <c r="F178" s="10" t="n">
        <v>49.7</v>
      </c>
      <c r="G178" s="10" t="n">
        <v>25.5</v>
      </c>
      <c r="H178" s="10" t="n">
        <v>90.8</v>
      </c>
      <c r="I178" s="10" t="n">
        <v>17.4</v>
      </c>
    </row>
    <row r="179" customFormat="false" ht="15" hidden="false" customHeight="false" outlineLevel="0" collapsed="false">
      <c r="A179" s="8" t="n">
        <v>22</v>
      </c>
      <c r="B179" s="8" t="s">
        <v>68</v>
      </c>
      <c r="C179" s="8" t="s">
        <v>347</v>
      </c>
      <c r="D179" s="5" t="s">
        <v>348</v>
      </c>
      <c r="E179" s="9" t="n">
        <v>944</v>
      </c>
      <c r="F179" s="10" t="n">
        <v>43.3</v>
      </c>
      <c r="G179" s="10" t="n">
        <v>41</v>
      </c>
      <c r="H179" s="10" t="n">
        <v>95.6</v>
      </c>
      <c r="I179" s="10" t="n">
        <v>19.4</v>
      </c>
    </row>
    <row r="180" customFormat="false" ht="15" hidden="false" customHeight="false" outlineLevel="0" collapsed="false">
      <c r="A180" s="8" t="n">
        <v>22</v>
      </c>
      <c r="B180" s="8" t="s">
        <v>68</v>
      </c>
      <c r="C180" s="8" t="s">
        <v>61</v>
      </c>
      <c r="D180" s="5" t="s">
        <v>95</v>
      </c>
      <c r="E180" s="9" t="n">
        <v>250</v>
      </c>
      <c r="F180" s="10" t="n">
        <v>21.4</v>
      </c>
      <c r="G180" s="10" t="n">
        <v>0.8</v>
      </c>
      <c r="H180" s="10" t="n">
        <v>40.2</v>
      </c>
      <c r="I180" s="10" t="n">
        <v>0.4</v>
      </c>
    </row>
    <row r="181" customFormat="false" ht="15" hidden="false" customHeight="false" outlineLevel="0" collapsed="false">
      <c r="A181" s="8" t="n">
        <v>22</v>
      </c>
      <c r="B181" s="8" t="s">
        <v>68</v>
      </c>
      <c r="C181" s="8" t="s">
        <v>62</v>
      </c>
      <c r="D181" s="5" t="s">
        <v>153</v>
      </c>
      <c r="E181" s="9" t="n">
        <v>1101</v>
      </c>
      <c r="F181" s="10" t="n">
        <v>34.8</v>
      </c>
      <c r="G181" s="10" t="n">
        <v>22.4</v>
      </c>
      <c r="H181" s="10" t="n">
        <v>184.9</v>
      </c>
      <c r="I181" s="10" t="n">
        <v>27.5</v>
      </c>
    </row>
    <row r="182" customFormat="false" ht="15" hidden="false" customHeight="false" outlineLevel="0" collapsed="false">
      <c r="A182" s="3"/>
      <c r="B182" s="3"/>
      <c r="C182" s="15" t="s">
        <v>243</v>
      </c>
      <c r="D182" s="15" t="s">
        <v>349</v>
      </c>
      <c r="E182" s="16" t="n">
        <f aca="false">SUM(E177:E181)</f>
        <v>3868</v>
      </c>
      <c r="F182" s="17" t="n">
        <f aca="false">SUM(F177:F181)</f>
        <v>194</v>
      </c>
      <c r="G182" s="17" t="n">
        <f aca="false">SUM(G177:G181)</f>
        <v>113.6</v>
      </c>
      <c r="H182" s="17" t="n">
        <f aca="false">SUM(H177:H181)</f>
        <v>497.6</v>
      </c>
      <c r="I182" s="17" t="n">
        <f aca="false">SUM(I177:I181)</f>
        <v>79</v>
      </c>
    </row>
    <row r="184" customFormat="false" ht="15" hidden="false" customHeight="false" outlineLevel="0" collapsed="false">
      <c r="A184" s="8" t="n">
        <v>23</v>
      </c>
      <c r="B184" s="8" t="s">
        <v>76</v>
      </c>
      <c r="C184" s="8" t="s">
        <v>56</v>
      </c>
      <c r="D184" s="5" t="s">
        <v>78</v>
      </c>
      <c r="E184" s="9" t="n">
        <v>630</v>
      </c>
      <c r="F184" s="10" t="n">
        <v>34.2</v>
      </c>
      <c r="G184" s="10" t="n">
        <v>18.1</v>
      </c>
      <c r="H184" s="10" t="n">
        <v>80.6</v>
      </c>
      <c r="I184" s="10" t="n">
        <v>11.9</v>
      </c>
    </row>
    <row r="185" customFormat="false" ht="15" hidden="false" customHeight="false" outlineLevel="0" collapsed="false">
      <c r="A185" s="8" t="n">
        <v>23</v>
      </c>
      <c r="B185" s="8" t="s">
        <v>76</v>
      </c>
      <c r="C185" s="8" t="s">
        <v>57</v>
      </c>
      <c r="D185" s="5" t="s">
        <v>79</v>
      </c>
      <c r="E185" s="9" t="n">
        <v>419</v>
      </c>
      <c r="F185" s="10" t="n">
        <v>5.3</v>
      </c>
      <c r="G185" s="10" t="n">
        <v>1.4</v>
      </c>
      <c r="H185" s="10" t="n">
        <v>100.7</v>
      </c>
      <c r="I185" s="10" t="n">
        <v>4.7</v>
      </c>
    </row>
    <row r="186" customFormat="false" ht="15" hidden="false" customHeight="false" outlineLevel="0" collapsed="false">
      <c r="A186" s="8" t="n">
        <v>23</v>
      </c>
      <c r="B186" s="8" t="s">
        <v>76</v>
      </c>
      <c r="C186" s="8" t="s">
        <v>350</v>
      </c>
      <c r="D186" s="5" t="s">
        <v>351</v>
      </c>
      <c r="E186" s="9" t="n">
        <v>913</v>
      </c>
      <c r="F186" s="10" t="n">
        <v>46.8</v>
      </c>
      <c r="G186" s="10" t="n">
        <v>30.5</v>
      </c>
      <c r="H186" s="10" t="n">
        <v>113.9</v>
      </c>
      <c r="I186" s="10" t="n">
        <v>33.3</v>
      </c>
    </row>
    <row r="187" customFormat="false" ht="15" hidden="false" customHeight="false" outlineLevel="0" collapsed="false">
      <c r="A187" s="8" t="n">
        <v>23</v>
      </c>
      <c r="B187" s="8" t="s">
        <v>76</v>
      </c>
      <c r="C187" s="8" t="s">
        <v>59</v>
      </c>
      <c r="D187" s="5" t="s">
        <v>81</v>
      </c>
      <c r="E187" s="9" t="n">
        <v>546</v>
      </c>
      <c r="F187" s="10" t="n">
        <v>33</v>
      </c>
      <c r="G187" s="10" t="n">
        <v>6.4</v>
      </c>
      <c r="H187" s="10" t="n">
        <v>88</v>
      </c>
      <c r="I187" s="10" t="n">
        <v>9.5</v>
      </c>
    </row>
    <row r="188" customFormat="false" ht="15" hidden="false" customHeight="false" outlineLevel="0" collapsed="false">
      <c r="A188" s="8" t="n">
        <v>23</v>
      </c>
      <c r="B188" s="8" t="s">
        <v>76</v>
      </c>
      <c r="C188" s="8" t="s">
        <v>352</v>
      </c>
      <c r="D188" s="5" t="s">
        <v>353</v>
      </c>
      <c r="E188" s="9" t="n">
        <v>1067</v>
      </c>
      <c r="F188" s="10" t="n">
        <v>54.9</v>
      </c>
      <c r="G188" s="10" t="n">
        <v>45.3</v>
      </c>
      <c r="H188" s="10" t="n">
        <v>109.2</v>
      </c>
      <c r="I188" s="10" t="n">
        <v>25.4</v>
      </c>
    </row>
    <row r="189" customFormat="false" ht="15" hidden="false" customHeight="false" outlineLevel="0" collapsed="false">
      <c r="A189" s="8" t="n">
        <v>23</v>
      </c>
      <c r="B189" s="8" t="s">
        <v>76</v>
      </c>
      <c r="C189" s="8" t="s">
        <v>61</v>
      </c>
      <c r="D189" s="5" t="s">
        <v>100</v>
      </c>
      <c r="E189" s="9" t="n">
        <v>439</v>
      </c>
      <c r="F189" s="10" t="n">
        <v>16.3</v>
      </c>
      <c r="G189" s="10" t="n">
        <v>16.4</v>
      </c>
      <c r="H189" s="10" t="n">
        <v>58.1</v>
      </c>
      <c r="I189" s="10" t="n">
        <v>3.2</v>
      </c>
    </row>
    <row r="190" customFormat="false" ht="15" hidden="false" customHeight="false" outlineLevel="0" collapsed="false">
      <c r="A190" s="8" t="n">
        <v>23</v>
      </c>
      <c r="B190" s="8" t="s">
        <v>76</v>
      </c>
      <c r="C190" s="8" t="s">
        <v>62</v>
      </c>
      <c r="D190" s="5" t="s">
        <v>156</v>
      </c>
      <c r="E190" s="9" t="n">
        <v>140</v>
      </c>
      <c r="F190" s="10" t="n">
        <v>2.2</v>
      </c>
      <c r="G190" s="10" t="n">
        <v>0.6</v>
      </c>
      <c r="H190" s="10" t="n">
        <v>32.2</v>
      </c>
      <c r="I190" s="10" t="n">
        <v>0.6</v>
      </c>
    </row>
    <row r="191" customFormat="false" ht="15" hidden="false" customHeight="false" outlineLevel="0" collapsed="false">
      <c r="A191" s="3"/>
      <c r="B191" s="3"/>
      <c r="C191" s="15" t="s">
        <v>243</v>
      </c>
      <c r="D191" s="15" t="s">
        <v>354</v>
      </c>
      <c r="E191" s="16" t="n">
        <f aca="false">SUM(E184:E190)</f>
        <v>4154</v>
      </c>
      <c r="F191" s="17" t="n">
        <f aca="false">SUM(F184:F190)</f>
        <v>192.7</v>
      </c>
      <c r="G191" s="17" t="n">
        <f aca="false">SUM(G184:G190)</f>
        <v>118.7</v>
      </c>
      <c r="H191" s="17" t="n">
        <f aca="false">SUM(H184:H190)</f>
        <v>582.7</v>
      </c>
      <c r="I191" s="17" t="n">
        <f aca="false">SUM(I184:I190)</f>
        <v>88.6</v>
      </c>
    </row>
    <row r="193" customFormat="false" ht="15" hidden="false" customHeight="false" outlineLevel="0" collapsed="false">
      <c r="A193" s="8" t="n">
        <v>24</v>
      </c>
      <c r="B193" s="8" t="s">
        <v>84</v>
      </c>
      <c r="C193" s="8" t="s">
        <v>56</v>
      </c>
      <c r="D193" s="5" t="s">
        <v>85</v>
      </c>
      <c r="E193" s="9" t="n">
        <v>687</v>
      </c>
      <c r="F193" s="10" t="n">
        <v>43</v>
      </c>
      <c r="G193" s="10" t="n">
        <v>17.3</v>
      </c>
      <c r="H193" s="10" t="n">
        <v>92.7</v>
      </c>
      <c r="I193" s="10" t="n">
        <v>5.5</v>
      </c>
    </row>
    <row r="194" customFormat="false" ht="15" hidden="false" customHeight="false" outlineLevel="0" collapsed="false">
      <c r="A194" s="8" t="n">
        <v>24</v>
      </c>
      <c r="B194" s="8" t="s">
        <v>84</v>
      </c>
      <c r="C194" s="8" t="s">
        <v>57</v>
      </c>
      <c r="D194" s="5" t="s">
        <v>79</v>
      </c>
      <c r="E194" s="9" t="n">
        <v>419</v>
      </c>
      <c r="F194" s="10" t="n">
        <v>5.3</v>
      </c>
      <c r="G194" s="10" t="n">
        <v>1.4</v>
      </c>
      <c r="H194" s="10" t="n">
        <v>100.7</v>
      </c>
      <c r="I194" s="10" t="n">
        <v>4.7</v>
      </c>
    </row>
    <row r="195" customFormat="false" ht="15" hidden="false" customHeight="false" outlineLevel="0" collapsed="false">
      <c r="A195" s="8" t="n">
        <v>24</v>
      </c>
      <c r="B195" s="8" t="s">
        <v>84</v>
      </c>
      <c r="C195" s="8" t="s">
        <v>355</v>
      </c>
      <c r="D195" s="5" t="s">
        <v>356</v>
      </c>
      <c r="E195" s="9" t="n">
        <v>788</v>
      </c>
      <c r="F195" s="10" t="n">
        <v>40.6</v>
      </c>
      <c r="G195" s="10" t="n">
        <v>19.8</v>
      </c>
      <c r="H195" s="10" t="n">
        <v>113.9</v>
      </c>
      <c r="I195" s="10" t="n">
        <v>17</v>
      </c>
    </row>
    <row r="196" customFormat="false" ht="15" hidden="false" customHeight="false" outlineLevel="0" collapsed="false">
      <c r="A196" s="8" t="n">
        <v>24</v>
      </c>
      <c r="B196" s="8" t="s">
        <v>84</v>
      </c>
      <c r="C196" s="8" t="s">
        <v>59</v>
      </c>
      <c r="D196" s="5" t="s">
        <v>87</v>
      </c>
      <c r="E196" s="9" t="n">
        <v>484</v>
      </c>
      <c r="F196" s="10" t="n">
        <v>28.1</v>
      </c>
      <c r="G196" s="10" t="n">
        <v>5.5</v>
      </c>
      <c r="H196" s="10" t="n">
        <v>82.7</v>
      </c>
      <c r="I196" s="10" t="n">
        <v>3.5</v>
      </c>
    </row>
    <row r="197" customFormat="false" ht="15" hidden="false" customHeight="false" outlineLevel="0" collapsed="false">
      <c r="A197" s="8" t="n">
        <v>24</v>
      </c>
      <c r="B197" s="8" t="s">
        <v>84</v>
      </c>
      <c r="C197" s="8" t="s">
        <v>357</v>
      </c>
      <c r="D197" s="5" t="s">
        <v>358</v>
      </c>
      <c r="E197" s="9" t="n">
        <v>1205</v>
      </c>
      <c r="F197" s="10" t="n">
        <v>67.9</v>
      </c>
      <c r="G197" s="10" t="n">
        <v>45.8</v>
      </c>
      <c r="H197" s="10" t="n">
        <v>130.7</v>
      </c>
      <c r="I197" s="10" t="n">
        <v>24</v>
      </c>
    </row>
    <row r="198" customFormat="false" ht="15" hidden="false" customHeight="false" outlineLevel="0" collapsed="false">
      <c r="A198" s="8" t="n">
        <v>24</v>
      </c>
      <c r="B198" s="8" t="s">
        <v>84</v>
      </c>
      <c r="C198" s="8" t="s">
        <v>61</v>
      </c>
      <c r="D198" s="5" t="s">
        <v>105</v>
      </c>
      <c r="E198" s="9" t="n">
        <v>279</v>
      </c>
      <c r="F198" s="10" t="n">
        <v>25.6</v>
      </c>
      <c r="G198" s="10" t="n">
        <v>2</v>
      </c>
      <c r="H198" s="10" t="n">
        <v>42.2</v>
      </c>
      <c r="I198" s="10" t="n">
        <v>2.7</v>
      </c>
    </row>
    <row r="199" customFormat="false" ht="15" hidden="false" customHeight="false" outlineLevel="0" collapsed="false">
      <c r="A199" s="8" t="n">
        <v>24</v>
      </c>
      <c r="B199" s="8" t="s">
        <v>84</v>
      </c>
      <c r="C199" s="8" t="s">
        <v>62</v>
      </c>
      <c r="D199" s="5" t="s">
        <v>159</v>
      </c>
      <c r="E199" s="9" t="n">
        <v>71</v>
      </c>
      <c r="F199" s="10" t="n">
        <v>0.9</v>
      </c>
      <c r="G199" s="10" t="n">
        <v>0.2</v>
      </c>
      <c r="H199" s="10" t="n">
        <v>18.2</v>
      </c>
      <c r="I199" s="10" t="n">
        <v>2.1</v>
      </c>
    </row>
    <row r="200" customFormat="false" ht="15" hidden="false" customHeight="false" outlineLevel="0" collapsed="false">
      <c r="A200" s="3"/>
      <c r="B200" s="3"/>
      <c r="C200" s="15" t="s">
        <v>243</v>
      </c>
      <c r="D200" s="15" t="s">
        <v>359</v>
      </c>
      <c r="E200" s="16" t="n">
        <f aca="false">SUM(E193:E199)</f>
        <v>3933</v>
      </c>
      <c r="F200" s="17" t="n">
        <f aca="false">SUM(F193:F199)</f>
        <v>211.4</v>
      </c>
      <c r="G200" s="17" t="n">
        <f aca="false">SUM(G193:G199)</f>
        <v>92</v>
      </c>
      <c r="H200" s="17" t="n">
        <f aca="false">SUM(H193:H199)</f>
        <v>581.1</v>
      </c>
      <c r="I200" s="17" t="n">
        <f aca="false">SUM(I193:I199)</f>
        <v>59.5</v>
      </c>
    </row>
    <row r="202" customFormat="false" ht="15" hidden="false" customHeight="false" outlineLevel="0" collapsed="false">
      <c r="A202" s="8" t="n">
        <v>25</v>
      </c>
      <c r="B202" s="8" t="s">
        <v>91</v>
      </c>
      <c r="C202" s="8" t="s">
        <v>56</v>
      </c>
      <c r="D202" s="5" t="s">
        <v>70</v>
      </c>
      <c r="E202" s="9" t="n">
        <v>737</v>
      </c>
      <c r="F202" s="10" t="n">
        <v>44.8</v>
      </c>
      <c r="G202" s="10" t="n">
        <v>23.9</v>
      </c>
      <c r="H202" s="10" t="n">
        <v>86.1</v>
      </c>
      <c r="I202" s="10" t="n">
        <v>14.3</v>
      </c>
    </row>
    <row r="203" customFormat="false" ht="15" hidden="false" customHeight="false" outlineLevel="0" collapsed="false">
      <c r="A203" s="8" t="n">
        <v>25</v>
      </c>
      <c r="B203" s="8" t="s">
        <v>91</v>
      </c>
      <c r="C203" s="8" t="s">
        <v>57</v>
      </c>
      <c r="D203" s="5" t="s">
        <v>79</v>
      </c>
      <c r="E203" s="9" t="n">
        <v>419</v>
      </c>
      <c r="F203" s="10" t="n">
        <v>5.3</v>
      </c>
      <c r="G203" s="10" t="n">
        <v>1.4</v>
      </c>
      <c r="H203" s="10" t="n">
        <v>100.7</v>
      </c>
      <c r="I203" s="10" t="n">
        <v>4.7</v>
      </c>
    </row>
    <row r="204" customFormat="false" ht="15" hidden="false" customHeight="false" outlineLevel="0" collapsed="false">
      <c r="A204" s="8" t="n">
        <v>25</v>
      </c>
      <c r="B204" s="8" t="s">
        <v>91</v>
      </c>
      <c r="C204" s="8" t="s">
        <v>360</v>
      </c>
      <c r="D204" s="5" t="s">
        <v>361</v>
      </c>
      <c r="E204" s="9" t="n">
        <v>773</v>
      </c>
      <c r="F204" s="10" t="n">
        <v>44.4</v>
      </c>
      <c r="G204" s="10" t="n">
        <v>16.4</v>
      </c>
      <c r="H204" s="10" t="n">
        <v>107.1</v>
      </c>
      <c r="I204" s="10" t="n">
        <v>6.2</v>
      </c>
    </row>
    <row r="205" customFormat="false" ht="15" hidden="false" customHeight="false" outlineLevel="0" collapsed="false">
      <c r="A205" s="8" t="n">
        <v>25</v>
      </c>
      <c r="B205" s="8" t="s">
        <v>91</v>
      </c>
      <c r="C205" s="8" t="s">
        <v>59</v>
      </c>
      <c r="D205" s="5" t="s">
        <v>93</v>
      </c>
      <c r="E205" s="9" t="n">
        <v>603</v>
      </c>
      <c r="F205" s="10" t="n">
        <v>34.2</v>
      </c>
      <c r="G205" s="10" t="n">
        <v>1.4</v>
      </c>
      <c r="H205" s="10" t="n">
        <v>112.3</v>
      </c>
      <c r="I205" s="10" t="n">
        <v>1.3</v>
      </c>
    </row>
    <row r="206" customFormat="false" ht="15" hidden="false" customHeight="false" outlineLevel="0" collapsed="false">
      <c r="A206" s="8" t="n">
        <v>25</v>
      </c>
      <c r="B206" s="8" t="s">
        <v>91</v>
      </c>
      <c r="C206" s="8" t="s">
        <v>362</v>
      </c>
      <c r="D206" s="5" t="s">
        <v>363</v>
      </c>
      <c r="E206" s="9" t="n">
        <v>958</v>
      </c>
      <c r="F206" s="10" t="n">
        <v>55.3</v>
      </c>
      <c r="G206" s="10" t="n">
        <v>41.5</v>
      </c>
      <c r="H206" s="10" t="n">
        <v>82.6</v>
      </c>
      <c r="I206" s="10" t="n">
        <v>16.3</v>
      </c>
    </row>
    <row r="207" customFormat="false" ht="15" hidden="false" customHeight="false" outlineLevel="0" collapsed="false">
      <c r="A207" s="8" t="n">
        <v>25</v>
      </c>
      <c r="B207" s="8" t="s">
        <v>91</v>
      </c>
      <c r="C207" s="8" t="s">
        <v>61</v>
      </c>
      <c r="D207" s="5" t="s">
        <v>74</v>
      </c>
      <c r="E207" s="9" t="n">
        <v>334</v>
      </c>
      <c r="F207" s="10" t="n">
        <v>26.1</v>
      </c>
      <c r="G207" s="10" t="n">
        <v>2.2</v>
      </c>
      <c r="H207" s="10" t="n">
        <v>55.6</v>
      </c>
      <c r="I207" s="10" t="n">
        <v>2.6</v>
      </c>
    </row>
    <row r="208" customFormat="false" ht="15" hidden="false" customHeight="false" outlineLevel="0" collapsed="false">
      <c r="A208" s="8" t="n">
        <v>25</v>
      </c>
      <c r="B208" s="8" t="s">
        <v>91</v>
      </c>
      <c r="C208" s="8" t="s">
        <v>62</v>
      </c>
      <c r="D208" s="5" t="s">
        <v>162</v>
      </c>
      <c r="E208" s="9" t="n">
        <v>328</v>
      </c>
      <c r="F208" s="10" t="n">
        <v>2.3</v>
      </c>
      <c r="G208" s="10" t="n">
        <v>20.7</v>
      </c>
      <c r="H208" s="10" t="n">
        <v>34.8</v>
      </c>
      <c r="I208" s="10" t="n">
        <v>0.7</v>
      </c>
    </row>
    <row r="209" customFormat="false" ht="15" hidden="false" customHeight="false" outlineLevel="0" collapsed="false">
      <c r="A209" s="3"/>
      <c r="B209" s="3"/>
      <c r="C209" s="15" t="s">
        <v>243</v>
      </c>
      <c r="D209" s="15" t="s">
        <v>364</v>
      </c>
      <c r="E209" s="16" t="n">
        <f aca="false">SUM(E202:E208)</f>
        <v>4152</v>
      </c>
      <c r="F209" s="17" t="n">
        <f aca="false">SUM(F202:F208)</f>
        <v>212.4</v>
      </c>
      <c r="G209" s="17" t="n">
        <f aca="false">SUM(G202:G208)</f>
        <v>107.5</v>
      </c>
      <c r="H209" s="17" t="n">
        <f aca="false">SUM(H202:H208)</f>
        <v>579.2</v>
      </c>
      <c r="I209" s="17" t="n">
        <f aca="false">SUM(I202:I208)</f>
        <v>46.1</v>
      </c>
    </row>
    <row r="211" customFormat="false" ht="15" hidden="false" customHeight="false" outlineLevel="0" collapsed="false">
      <c r="A211" s="8" t="n">
        <v>26</v>
      </c>
      <c r="B211" s="8" t="s">
        <v>97</v>
      </c>
      <c r="C211" s="8" t="s">
        <v>56</v>
      </c>
      <c r="D211" s="5" t="s">
        <v>78</v>
      </c>
      <c r="E211" s="9" t="n">
        <v>630</v>
      </c>
      <c r="F211" s="10" t="n">
        <v>34.2</v>
      </c>
      <c r="G211" s="10" t="n">
        <v>18.1</v>
      </c>
      <c r="H211" s="10" t="n">
        <v>80.6</v>
      </c>
      <c r="I211" s="10" t="n">
        <v>11.9</v>
      </c>
    </row>
    <row r="212" customFormat="false" ht="15" hidden="false" customHeight="false" outlineLevel="0" collapsed="false">
      <c r="A212" s="8" t="n">
        <v>26</v>
      </c>
      <c r="B212" s="8" t="s">
        <v>97</v>
      </c>
      <c r="C212" s="8" t="s">
        <v>365</v>
      </c>
      <c r="D212" s="5" t="s">
        <v>366</v>
      </c>
      <c r="E212" s="9" t="n">
        <v>694</v>
      </c>
      <c r="F212" s="10" t="n">
        <v>46.4</v>
      </c>
      <c r="G212" s="10" t="n">
        <v>18.7</v>
      </c>
      <c r="H212" s="10" t="n">
        <v>89.5</v>
      </c>
      <c r="I212" s="10" t="n">
        <v>18.1</v>
      </c>
    </row>
    <row r="213" customFormat="false" ht="15" hidden="false" customHeight="false" outlineLevel="0" collapsed="false">
      <c r="A213" s="8" t="n">
        <v>26</v>
      </c>
      <c r="B213" s="8" t="s">
        <v>97</v>
      </c>
      <c r="C213" s="8" t="s">
        <v>367</v>
      </c>
      <c r="D213" s="5" t="s">
        <v>368</v>
      </c>
      <c r="E213" s="9" t="n">
        <v>1124</v>
      </c>
      <c r="F213" s="10" t="n">
        <v>66.1</v>
      </c>
      <c r="G213" s="10" t="n">
        <v>45.5</v>
      </c>
      <c r="H213" s="10" t="n">
        <v>115</v>
      </c>
      <c r="I213" s="10" t="n">
        <v>21.6</v>
      </c>
    </row>
    <row r="214" customFormat="false" ht="15" hidden="false" customHeight="false" outlineLevel="0" collapsed="false">
      <c r="A214" s="8" t="n">
        <v>26</v>
      </c>
      <c r="B214" s="8" t="s">
        <v>97</v>
      </c>
      <c r="C214" s="8" t="s">
        <v>61</v>
      </c>
      <c r="D214" s="5" t="s">
        <v>83</v>
      </c>
      <c r="E214" s="9" t="n">
        <v>305</v>
      </c>
      <c r="F214" s="10" t="n">
        <v>27.1</v>
      </c>
      <c r="G214" s="10" t="n">
        <v>1.9</v>
      </c>
      <c r="H214" s="10" t="n">
        <v>47.5</v>
      </c>
      <c r="I214" s="10" t="n">
        <v>2.4</v>
      </c>
    </row>
    <row r="215" customFormat="false" ht="15" hidden="false" customHeight="false" outlineLevel="0" collapsed="false">
      <c r="A215" s="8" t="n">
        <v>26</v>
      </c>
      <c r="B215" s="8" t="s">
        <v>97</v>
      </c>
      <c r="C215" s="8" t="s">
        <v>62</v>
      </c>
      <c r="D215" s="5" t="s">
        <v>165</v>
      </c>
      <c r="E215" s="9" t="n">
        <v>1042</v>
      </c>
      <c r="F215" s="10" t="n">
        <v>32.3</v>
      </c>
      <c r="G215" s="10" t="n">
        <v>17.5</v>
      </c>
      <c r="H215" s="10" t="n">
        <v>183.4</v>
      </c>
      <c r="I215" s="10" t="n">
        <v>26.9</v>
      </c>
    </row>
    <row r="216" customFormat="false" ht="15" hidden="false" customHeight="false" outlineLevel="0" collapsed="false">
      <c r="A216" s="3"/>
      <c r="B216" s="3"/>
      <c r="C216" s="15" t="s">
        <v>243</v>
      </c>
      <c r="D216" s="15" t="s">
        <v>369</v>
      </c>
      <c r="E216" s="16" t="n">
        <f aca="false">SUM(E211:E215)</f>
        <v>3795</v>
      </c>
      <c r="F216" s="17" t="n">
        <f aca="false">SUM(F211:F215)</f>
        <v>206.1</v>
      </c>
      <c r="G216" s="17" t="n">
        <f aca="false">SUM(G211:G215)</f>
        <v>101.7</v>
      </c>
      <c r="H216" s="17" t="n">
        <f aca="false">SUM(H211:H215)</f>
        <v>516</v>
      </c>
      <c r="I216" s="17" t="n">
        <f aca="false">SUM(I211:I215)</f>
        <v>80.9</v>
      </c>
    </row>
    <row r="218" customFormat="false" ht="15" hidden="false" customHeight="false" outlineLevel="0" collapsed="false">
      <c r="A218" s="8" t="n">
        <v>27</v>
      </c>
      <c r="B218" s="8" t="s">
        <v>102</v>
      </c>
      <c r="C218" s="8" t="s">
        <v>56</v>
      </c>
      <c r="D218" s="5" t="s">
        <v>85</v>
      </c>
      <c r="E218" s="9" t="n">
        <v>687</v>
      </c>
      <c r="F218" s="10" t="n">
        <v>43</v>
      </c>
      <c r="G218" s="10" t="n">
        <v>17.3</v>
      </c>
      <c r="H218" s="10" t="n">
        <v>92.7</v>
      </c>
      <c r="I218" s="10" t="n">
        <v>5.5</v>
      </c>
    </row>
    <row r="219" customFormat="false" ht="15" hidden="false" customHeight="false" outlineLevel="0" collapsed="false">
      <c r="A219" s="8" t="n">
        <v>27</v>
      </c>
      <c r="B219" s="8" t="s">
        <v>102</v>
      </c>
      <c r="C219" s="8" t="s">
        <v>57</v>
      </c>
      <c r="D219" s="5" t="s">
        <v>79</v>
      </c>
      <c r="E219" s="9" t="n">
        <v>419</v>
      </c>
      <c r="F219" s="10" t="n">
        <v>5.3</v>
      </c>
      <c r="G219" s="10" t="n">
        <v>1.4</v>
      </c>
      <c r="H219" s="10" t="n">
        <v>100.7</v>
      </c>
      <c r="I219" s="10" t="n">
        <v>4.7</v>
      </c>
    </row>
    <row r="220" customFormat="false" ht="15" hidden="false" customHeight="false" outlineLevel="0" collapsed="false">
      <c r="A220" s="8" t="n">
        <v>27</v>
      </c>
      <c r="B220" s="8" t="s">
        <v>102</v>
      </c>
      <c r="C220" s="8" t="s">
        <v>370</v>
      </c>
      <c r="D220" s="5" t="s">
        <v>371</v>
      </c>
      <c r="E220" s="9" t="n">
        <v>1008</v>
      </c>
      <c r="F220" s="10" t="n">
        <v>45.8</v>
      </c>
      <c r="G220" s="10" t="n">
        <v>27.5</v>
      </c>
      <c r="H220" s="10" t="n">
        <v>139.3</v>
      </c>
      <c r="I220" s="10" t="n">
        <v>21.8</v>
      </c>
    </row>
    <row r="221" customFormat="false" ht="15" hidden="false" customHeight="false" outlineLevel="0" collapsed="false">
      <c r="A221" s="8" t="n">
        <v>27</v>
      </c>
      <c r="B221" s="8" t="s">
        <v>102</v>
      </c>
      <c r="C221" s="8" t="s">
        <v>59</v>
      </c>
      <c r="D221" s="5" t="s">
        <v>87</v>
      </c>
      <c r="E221" s="9" t="n">
        <v>484</v>
      </c>
      <c r="F221" s="10" t="n">
        <v>28.1</v>
      </c>
      <c r="G221" s="10" t="n">
        <v>5.5</v>
      </c>
      <c r="H221" s="10" t="n">
        <v>82.7</v>
      </c>
      <c r="I221" s="10" t="n">
        <v>3.5</v>
      </c>
    </row>
    <row r="222" customFormat="false" ht="15" hidden="false" customHeight="false" outlineLevel="0" collapsed="false">
      <c r="A222" s="8" t="n">
        <v>27</v>
      </c>
      <c r="B222" s="8" t="s">
        <v>102</v>
      </c>
      <c r="C222" s="8" t="s">
        <v>372</v>
      </c>
      <c r="D222" s="5" t="s">
        <v>373</v>
      </c>
      <c r="E222" s="9" t="n">
        <v>899</v>
      </c>
      <c r="F222" s="10" t="n">
        <v>45</v>
      </c>
      <c r="G222" s="10" t="n">
        <v>36.3</v>
      </c>
      <c r="H222" s="10" t="n">
        <v>96.4</v>
      </c>
      <c r="I222" s="10" t="n">
        <v>11.5</v>
      </c>
    </row>
    <row r="223" customFormat="false" ht="15" hidden="false" customHeight="false" outlineLevel="0" collapsed="false">
      <c r="A223" s="8" t="n">
        <v>27</v>
      </c>
      <c r="B223" s="8" t="s">
        <v>102</v>
      </c>
      <c r="C223" s="8" t="s">
        <v>61</v>
      </c>
      <c r="D223" s="5" t="s">
        <v>89</v>
      </c>
      <c r="E223" s="9" t="n">
        <v>297</v>
      </c>
      <c r="F223" s="10" t="n">
        <v>23.9</v>
      </c>
      <c r="G223" s="10" t="n">
        <v>10.2</v>
      </c>
      <c r="H223" s="10" t="n">
        <v>30.2</v>
      </c>
      <c r="I223" s="10" t="n">
        <v>1.1</v>
      </c>
    </row>
    <row r="224" customFormat="false" ht="15" hidden="false" customHeight="false" outlineLevel="0" collapsed="false">
      <c r="A224" s="8" t="n">
        <v>27</v>
      </c>
      <c r="B224" s="8" t="s">
        <v>102</v>
      </c>
      <c r="C224" s="8" t="s">
        <v>62</v>
      </c>
      <c r="D224" s="5" t="s">
        <v>168</v>
      </c>
      <c r="E224" s="9" t="n">
        <v>264</v>
      </c>
      <c r="F224" s="10" t="n">
        <v>2.7</v>
      </c>
      <c r="G224" s="10" t="n">
        <v>10.8</v>
      </c>
      <c r="H224" s="10" t="n">
        <v>40.6</v>
      </c>
      <c r="I224" s="10" t="n">
        <v>0.8</v>
      </c>
    </row>
    <row r="225" customFormat="false" ht="15" hidden="false" customHeight="false" outlineLevel="0" collapsed="false">
      <c r="A225" s="3"/>
      <c r="B225" s="3"/>
      <c r="C225" s="15" t="s">
        <v>243</v>
      </c>
      <c r="D225" s="15" t="s">
        <v>374</v>
      </c>
      <c r="E225" s="16" t="n">
        <f aca="false">SUM(E218:E224)</f>
        <v>4058</v>
      </c>
      <c r="F225" s="17" t="n">
        <f aca="false">SUM(F218:F224)</f>
        <v>193.8</v>
      </c>
      <c r="G225" s="17" t="n">
        <f aca="false">SUM(G218:G224)</f>
        <v>109</v>
      </c>
      <c r="H225" s="17" t="n">
        <f aca="false">SUM(H218:H224)</f>
        <v>582.6</v>
      </c>
      <c r="I225" s="17" t="n">
        <f aca="false">SUM(I218:I224)</f>
        <v>48.9</v>
      </c>
    </row>
    <row r="227" customFormat="false" ht="15" hidden="false" customHeight="false" outlineLevel="0" collapsed="false">
      <c r="A227" s="8" t="n">
        <v>28</v>
      </c>
      <c r="B227" s="8" t="s">
        <v>107</v>
      </c>
      <c r="C227" s="8" t="s">
        <v>56</v>
      </c>
      <c r="D227" s="5" t="s">
        <v>70</v>
      </c>
      <c r="E227" s="9" t="n">
        <v>737</v>
      </c>
      <c r="F227" s="10" t="n">
        <v>44.8</v>
      </c>
      <c r="G227" s="10" t="n">
        <v>23.9</v>
      </c>
      <c r="H227" s="10" t="n">
        <v>86.1</v>
      </c>
      <c r="I227" s="10" t="n">
        <v>14.3</v>
      </c>
    </row>
    <row r="228" customFormat="false" ht="15" hidden="false" customHeight="false" outlineLevel="0" collapsed="false">
      <c r="A228" s="8" t="n">
        <v>28</v>
      </c>
      <c r="B228" s="8" t="s">
        <v>107</v>
      </c>
      <c r="C228" s="8" t="s">
        <v>57</v>
      </c>
      <c r="D228" s="5" t="s">
        <v>79</v>
      </c>
      <c r="E228" s="9" t="n">
        <v>419</v>
      </c>
      <c r="F228" s="10" t="n">
        <v>5.3</v>
      </c>
      <c r="G228" s="10" t="n">
        <v>1.4</v>
      </c>
      <c r="H228" s="10" t="n">
        <v>100.7</v>
      </c>
      <c r="I228" s="10" t="n">
        <v>4.7</v>
      </c>
    </row>
    <row r="229" customFormat="false" ht="15" hidden="false" customHeight="false" outlineLevel="0" collapsed="false">
      <c r="A229" s="8" t="n">
        <v>28</v>
      </c>
      <c r="B229" s="8" t="s">
        <v>107</v>
      </c>
      <c r="C229" s="8" t="s">
        <v>375</v>
      </c>
      <c r="D229" s="5" t="s">
        <v>376</v>
      </c>
      <c r="E229" s="9" t="n">
        <v>904</v>
      </c>
      <c r="F229" s="10" t="n">
        <v>57</v>
      </c>
      <c r="G229" s="10" t="n">
        <v>16.5</v>
      </c>
      <c r="H229" s="10" t="n">
        <v>133.5</v>
      </c>
      <c r="I229" s="10" t="n">
        <v>13.9</v>
      </c>
    </row>
    <row r="230" customFormat="false" ht="15" hidden="false" customHeight="false" outlineLevel="0" collapsed="false">
      <c r="A230" s="8" t="n">
        <v>28</v>
      </c>
      <c r="B230" s="8" t="s">
        <v>107</v>
      </c>
      <c r="C230" s="8" t="s">
        <v>59</v>
      </c>
      <c r="D230" s="5" t="s">
        <v>93</v>
      </c>
      <c r="E230" s="9" t="n">
        <v>603</v>
      </c>
      <c r="F230" s="10" t="n">
        <v>34.2</v>
      </c>
      <c r="G230" s="10" t="n">
        <v>1.4</v>
      </c>
      <c r="H230" s="10" t="n">
        <v>112.3</v>
      </c>
      <c r="I230" s="10" t="n">
        <v>1.3</v>
      </c>
    </row>
    <row r="231" customFormat="false" ht="15" hidden="false" customHeight="false" outlineLevel="0" collapsed="false">
      <c r="A231" s="8" t="n">
        <v>28</v>
      </c>
      <c r="B231" s="8" t="s">
        <v>107</v>
      </c>
      <c r="C231" s="8" t="s">
        <v>377</v>
      </c>
      <c r="D231" s="5" t="s">
        <v>378</v>
      </c>
      <c r="E231" s="9" t="n">
        <v>1096</v>
      </c>
      <c r="F231" s="10" t="n">
        <v>39.9</v>
      </c>
      <c r="G231" s="10" t="n">
        <v>46.1</v>
      </c>
      <c r="H231" s="10" t="n">
        <v>129.4</v>
      </c>
      <c r="I231" s="10" t="n">
        <v>14.2</v>
      </c>
    </row>
    <row r="232" customFormat="false" ht="15" hidden="false" customHeight="false" outlineLevel="0" collapsed="false">
      <c r="A232" s="8" t="n">
        <v>28</v>
      </c>
      <c r="B232" s="8" t="s">
        <v>107</v>
      </c>
      <c r="C232" s="8" t="s">
        <v>61</v>
      </c>
      <c r="D232" s="5" t="s">
        <v>95</v>
      </c>
      <c r="E232" s="9" t="n">
        <v>250</v>
      </c>
      <c r="F232" s="10" t="n">
        <v>21.4</v>
      </c>
      <c r="G232" s="10" t="n">
        <v>0.8</v>
      </c>
      <c r="H232" s="10" t="n">
        <v>40.2</v>
      </c>
      <c r="I232" s="10" t="n">
        <v>0.4</v>
      </c>
    </row>
    <row r="233" customFormat="false" ht="15" hidden="false" customHeight="false" outlineLevel="0" collapsed="false">
      <c r="A233" s="8" t="n">
        <v>28</v>
      </c>
      <c r="B233" s="8" t="s">
        <v>107</v>
      </c>
      <c r="C233" s="8" t="s">
        <v>62</v>
      </c>
      <c r="D233" s="5" t="s">
        <v>171</v>
      </c>
      <c r="E233" s="9" t="n">
        <v>29</v>
      </c>
      <c r="F233" s="10" t="n">
        <v>1.2</v>
      </c>
      <c r="G233" s="10" t="n">
        <v>2.5</v>
      </c>
      <c r="H233" s="10" t="n">
        <v>0.8</v>
      </c>
      <c r="I233" s="10" t="n">
        <v>0.3</v>
      </c>
    </row>
    <row r="234" customFormat="false" ht="15" hidden="false" customHeight="false" outlineLevel="0" collapsed="false">
      <c r="A234" s="3"/>
      <c r="B234" s="3"/>
      <c r="C234" s="15" t="s">
        <v>243</v>
      </c>
      <c r="D234" s="15" t="s">
        <v>379</v>
      </c>
      <c r="E234" s="16" t="n">
        <f aca="false">SUM(E227:E233)</f>
        <v>4038</v>
      </c>
      <c r="F234" s="17" t="n">
        <f aca="false">SUM(F227:F233)</f>
        <v>203.8</v>
      </c>
      <c r="G234" s="17" t="n">
        <f aca="false">SUM(G227:G233)</f>
        <v>92.6</v>
      </c>
      <c r="H234" s="17" t="n">
        <f aca="false">SUM(H227:H233)</f>
        <v>603</v>
      </c>
      <c r="I234" s="17" t="n">
        <f aca="false">SUM(I227:I233)</f>
        <v>49.1</v>
      </c>
    </row>
    <row r="236" customFormat="false" ht="15" hidden="false" customHeight="false" outlineLevel="0" collapsed="false">
      <c r="A236" s="8" t="n">
        <v>29</v>
      </c>
      <c r="B236" s="8" t="s">
        <v>68</v>
      </c>
      <c r="C236" s="8" t="s">
        <v>56</v>
      </c>
      <c r="D236" s="5" t="s">
        <v>78</v>
      </c>
      <c r="E236" s="9" t="n">
        <v>630</v>
      </c>
      <c r="F236" s="10" t="n">
        <v>34.2</v>
      </c>
      <c r="G236" s="10" t="n">
        <v>18.1</v>
      </c>
      <c r="H236" s="10" t="n">
        <v>80.6</v>
      </c>
      <c r="I236" s="10" t="n">
        <v>11.9</v>
      </c>
    </row>
    <row r="237" customFormat="false" ht="15" hidden="false" customHeight="false" outlineLevel="0" collapsed="false">
      <c r="A237" s="8" t="n">
        <v>29</v>
      </c>
      <c r="B237" s="8" t="s">
        <v>68</v>
      </c>
      <c r="C237" s="8" t="s">
        <v>380</v>
      </c>
      <c r="D237" s="5" t="s">
        <v>381</v>
      </c>
      <c r="E237" s="9" t="n">
        <v>628</v>
      </c>
      <c r="F237" s="10" t="n">
        <v>49.2</v>
      </c>
      <c r="G237" s="10" t="n">
        <v>24.3</v>
      </c>
      <c r="H237" s="10" t="n">
        <v>57.6</v>
      </c>
      <c r="I237" s="10" t="n">
        <v>22.8</v>
      </c>
    </row>
    <row r="238" customFormat="false" ht="15" hidden="false" customHeight="false" outlineLevel="0" collapsed="false">
      <c r="A238" s="8" t="n">
        <v>29</v>
      </c>
      <c r="B238" s="8" t="s">
        <v>68</v>
      </c>
      <c r="C238" s="8" t="s">
        <v>382</v>
      </c>
      <c r="D238" s="5" t="s">
        <v>383</v>
      </c>
      <c r="E238" s="9" t="n">
        <v>1015</v>
      </c>
      <c r="F238" s="10" t="n">
        <v>62</v>
      </c>
      <c r="G238" s="10" t="n">
        <v>19.6</v>
      </c>
      <c r="H238" s="10" t="n">
        <v>147.2</v>
      </c>
      <c r="I238" s="10" t="n">
        <v>14.5</v>
      </c>
    </row>
    <row r="239" customFormat="false" ht="15" hidden="false" customHeight="false" outlineLevel="0" collapsed="false">
      <c r="A239" s="8" t="n">
        <v>29</v>
      </c>
      <c r="B239" s="8" t="s">
        <v>68</v>
      </c>
      <c r="C239" s="8" t="s">
        <v>61</v>
      </c>
      <c r="D239" s="5" t="s">
        <v>100</v>
      </c>
      <c r="E239" s="9" t="n">
        <v>439</v>
      </c>
      <c r="F239" s="10" t="n">
        <v>16.3</v>
      </c>
      <c r="G239" s="10" t="n">
        <v>16.4</v>
      </c>
      <c r="H239" s="10" t="n">
        <v>58.1</v>
      </c>
      <c r="I239" s="10" t="n">
        <v>3.2</v>
      </c>
    </row>
    <row r="240" customFormat="false" ht="23.85" hidden="false" customHeight="false" outlineLevel="0" collapsed="false">
      <c r="A240" s="8" t="n">
        <v>29</v>
      </c>
      <c r="B240" s="8" t="s">
        <v>68</v>
      </c>
      <c r="C240" s="8" t="s">
        <v>62</v>
      </c>
      <c r="D240" s="5" t="s">
        <v>174</v>
      </c>
      <c r="E240" s="9" t="n">
        <v>1197</v>
      </c>
      <c r="F240" s="10" t="n">
        <v>24.2</v>
      </c>
      <c r="G240" s="10" t="n">
        <v>32.6</v>
      </c>
      <c r="H240" s="10" t="n">
        <v>199</v>
      </c>
      <c r="I240" s="10" t="n">
        <v>3</v>
      </c>
    </row>
    <row r="241" customFormat="false" ht="15" hidden="false" customHeight="false" outlineLevel="0" collapsed="false">
      <c r="A241" s="3"/>
      <c r="B241" s="3"/>
      <c r="C241" s="15" t="s">
        <v>243</v>
      </c>
      <c r="D241" s="15" t="s">
        <v>384</v>
      </c>
      <c r="E241" s="16" t="n">
        <f aca="false">SUM(E236:E240)</f>
        <v>3909</v>
      </c>
      <c r="F241" s="17" t="n">
        <f aca="false">SUM(F236:F240)</f>
        <v>185.9</v>
      </c>
      <c r="G241" s="17" t="n">
        <f aca="false">SUM(G236:G240)</f>
        <v>111</v>
      </c>
      <c r="H241" s="17" t="n">
        <f aca="false">SUM(H236:H240)</f>
        <v>542.5</v>
      </c>
      <c r="I241" s="17" t="n">
        <f aca="false">SUM(I236:I240)</f>
        <v>55.4</v>
      </c>
    </row>
    <row r="243" customFormat="false" ht="15" hidden="false" customHeight="false" outlineLevel="0" collapsed="false">
      <c r="A243" s="8" t="n">
        <v>30</v>
      </c>
      <c r="B243" s="8" t="s">
        <v>76</v>
      </c>
      <c r="C243" s="8" t="s">
        <v>56</v>
      </c>
      <c r="D243" s="5" t="s">
        <v>85</v>
      </c>
      <c r="E243" s="9" t="n">
        <v>687</v>
      </c>
      <c r="F243" s="10" t="n">
        <v>43</v>
      </c>
      <c r="G243" s="10" t="n">
        <v>17.3</v>
      </c>
      <c r="H243" s="10" t="n">
        <v>92.7</v>
      </c>
      <c r="I243" s="10" t="n">
        <v>5.5</v>
      </c>
    </row>
    <row r="244" customFormat="false" ht="15" hidden="false" customHeight="false" outlineLevel="0" collapsed="false">
      <c r="A244" s="8" t="n">
        <v>30</v>
      </c>
      <c r="B244" s="8" t="s">
        <v>76</v>
      </c>
      <c r="C244" s="8" t="s">
        <v>57</v>
      </c>
      <c r="D244" s="5" t="s">
        <v>79</v>
      </c>
      <c r="E244" s="9" t="n">
        <v>419</v>
      </c>
      <c r="F244" s="10" t="n">
        <v>5.3</v>
      </c>
      <c r="G244" s="10" t="n">
        <v>1.4</v>
      </c>
      <c r="H244" s="10" t="n">
        <v>100.7</v>
      </c>
      <c r="I244" s="10" t="n">
        <v>4.7</v>
      </c>
    </row>
    <row r="245" customFormat="false" ht="15" hidden="false" customHeight="false" outlineLevel="0" collapsed="false">
      <c r="A245" s="8" t="n">
        <v>30</v>
      </c>
      <c r="B245" s="8" t="s">
        <v>76</v>
      </c>
      <c r="C245" s="8" t="s">
        <v>385</v>
      </c>
      <c r="D245" s="5" t="s">
        <v>386</v>
      </c>
      <c r="E245" s="9" t="n">
        <v>845</v>
      </c>
      <c r="F245" s="10" t="n">
        <v>43.4</v>
      </c>
      <c r="G245" s="10" t="n">
        <v>28.2</v>
      </c>
      <c r="H245" s="10" t="n">
        <v>94</v>
      </c>
      <c r="I245" s="10" t="n">
        <v>17.1</v>
      </c>
    </row>
    <row r="246" customFormat="false" ht="15" hidden="false" customHeight="false" outlineLevel="0" collapsed="false">
      <c r="A246" s="8" t="n">
        <v>30</v>
      </c>
      <c r="B246" s="8" t="s">
        <v>76</v>
      </c>
      <c r="C246" s="8" t="s">
        <v>59</v>
      </c>
      <c r="D246" s="5" t="s">
        <v>87</v>
      </c>
      <c r="E246" s="9" t="n">
        <v>484</v>
      </c>
      <c r="F246" s="10" t="n">
        <v>28.1</v>
      </c>
      <c r="G246" s="10" t="n">
        <v>5.5</v>
      </c>
      <c r="H246" s="10" t="n">
        <v>82.7</v>
      </c>
      <c r="I246" s="10" t="n">
        <v>3.5</v>
      </c>
    </row>
    <row r="247" customFormat="false" ht="15" hidden="false" customHeight="false" outlineLevel="0" collapsed="false">
      <c r="A247" s="8" t="n">
        <v>30</v>
      </c>
      <c r="B247" s="8" t="s">
        <v>76</v>
      </c>
      <c r="C247" s="8" t="s">
        <v>387</v>
      </c>
      <c r="D247" s="5" t="s">
        <v>388</v>
      </c>
      <c r="E247" s="9" t="n">
        <v>1099</v>
      </c>
      <c r="F247" s="10" t="n">
        <v>31.7</v>
      </c>
      <c r="G247" s="10" t="n">
        <v>29</v>
      </c>
      <c r="H247" s="10" t="n">
        <v>178.5</v>
      </c>
      <c r="I247" s="10" t="n">
        <v>15.2</v>
      </c>
    </row>
    <row r="248" customFormat="false" ht="15" hidden="false" customHeight="false" outlineLevel="0" collapsed="false">
      <c r="A248" s="8" t="n">
        <v>30</v>
      </c>
      <c r="B248" s="8" t="s">
        <v>76</v>
      </c>
      <c r="C248" s="8" t="s">
        <v>61</v>
      </c>
      <c r="D248" s="5" t="s">
        <v>105</v>
      </c>
      <c r="E248" s="9" t="n">
        <v>279</v>
      </c>
      <c r="F248" s="10" t="n">
        <v>25.6</v>
      </c>
      <c r="G248" s="10" t="n">
        <v>2</v>
      </c>
      <c r="H248" s="10" t="n">
        <v>42.2</v>
      </c>
      <c r="I248" s="10" t="n">
        <v>2.7</v>
      </c>
    </row>
    <row r="249" customFormat="false" ht="15" hidden="false" customHeight="false" outlineLevel="0" collapsed="false">
      <c r="A249" s="8" t="n">
        <v>30</v>
      </c>
      <c r="B249" s="8" t="s">
        <v>76</v>
      </c>
      <c r="C249" s="8" t="s">
        <v>62</v>
      </c>
      <c r="D249" s="5" t="s">
        <v>177</v>
      </c>
      <c r="E249" s="9" t="n">
        <v>235</v>
      </c>
      <c r="F249" s="10" t="n">
        <v>10</v>
      </c>
      <c r="G249" s="10" t="n">
        <v>19.6</v>
      </c>
      <c r="H249" s="10" t="n">
        <v>6</v>
      </c>
      <c r="I249" s="10" t="n">
        <v>2.4</v>
      </c>
    </row>
    <row r="250" customFormat="false" ht="15" hidden="false" customHeight="false" outlineLevel="0" collapsed="false">
      <c r="A250" s="3"/>
      <c r="B250" s="3"/>
      <c r="C250" s="15" t="s">
        <v>243</v>
      </c>
      <c r="D250" s="15" t="s">
        <v>389</v>
      </c>
      <c r="E250" s="16" t="n">
        <f aca="false">SUM(E243:E249)</f>
        <v>4048</v>
      </c>
      <c r="F250" s="17" t="n">
        <f aca="false">SUM(F243:F249)</f>
        <v>187.1</v>
      </c>
      <c r="G250" s="17" t="n">
        <f aca="false">SUM(G243:G249)</f>
        <v>103</v>
      </c>
      <c r="H250" s="17" t="n">
        <f aca="false">SUM(H243:H249)</f>
        <v>596.8</v>
      </c>
      <c r="I250" s="17" t="n">
        <f aca="false">SUM(I243:I249)</f>
        <v>51.1</v>
      </c>
    </row>
    <row r="252" customFormat="false" ht="15" hidden="false" customHeight="false" outlineLevel="0" collapsed="false">
      <c r="A252" s="8" t="n">
        <v>31</v>
      </c>
      <c r="B252" s="8" t="s">
        <v>84</v>
      </c>
      <c r="C252" s="8" t="s">
        <v>56</v>
      </c>
      <c r="D252" s="5" t="s">
        <v>70</v>
      </c>
      <c r="E252" s="9" t="n">
        <v>737</v>
      </c>
      <c r="F252" s="10" t="n">
        <v>44.8</v>
      </c>
      <c r="G252" s="10" t="n">
        <v>23.9</v>
      </c>
      <c r="H252" s="10" t="n">
        <v>86.1</v>
      </c>
      <c r="I252" s="10" t="n">
        <v>14.3</v>
      </c>
    </row>
    <row r="253" customFormat="false" ht="15" hidden="false" customHeight="false" outlineLevel="0" collapsed="false">
      <c r="A253" s="8" t="n">
        <v>31</v>
      </c>
      <c r="B253" s="8" t="s">
        <v>84</v>
      </c>
      <c r="C253" s="8" t="s">
        <v>57</v>
      </c>
      <c r="D253" s="5" t="s">
        <v>79</v>
      </c>
      <c r="E253" s="9" t="n">
        <v>419</v>
      </c>
      <c r="F253" s="10" t="n">
        <v>5.3</v>
      </c>
      <c r="G253" s="10" t="n">
        <v>1.4</v>
      </c>
      <c r="H253" s="10" t="n">
        <v>100.7</v>
      </c>
      <c r="I253" s="10" t="n">
        <v>4.7</v>
      </c>
    </row>
    <row r="254" customFormat="false" ht="15" hidden="false" customHeight="false" outlineLevel="0" collapsed="false">
      <c r="A254" s="8" t="n">
        <v>31</v>
      </c>
      <c r="B254" s="8" t="s">
        <v>84</v>
      </c>
      <c r="C254" s="8" t="s">
        <v>239</v>
      </c>
      <c r="D254" s="5" t="s">
        <v>240</v>
      </c>
      <c r="E254" s="9" t="n">
        <v>764</v>
      </c>
      <c r="F254" s="10" t="n">
        <v>58</v>
      </c>
      <c r="G254" s="10" t="n">
        <v>16</v>
      </c>
      <c r="H254" s="10" t="n">
        <v>92.6</v>
      </c>
      <c r="I254" s="10" t="n">
        <v>10.5</v>
      </c>
    </row>
    <row r="255" customFormat="false" ht="15" hidden="false" customHeight="false" outlineLevel="0" collapsed="false">
      <c r="A255" s="8" t="n">
        <v>31</v>
      </c>
      <c r="B255" s="8" t="s">
        <v>84</v>
      </c>
      <c r="C255" s="8" t="s">
        <v>59</v>
      </c>
      <c r="D255" s="5" t="s">
        <v>93</v>
      </c>
      <c r="E255" s="9" t="n">
        <v>603</v>
      </c>
      <c r="F255" s="10" t="n">
        <v>34.2</v>
      </c>
      <c r="G255" s="10" t="n">
        <v>1.4</v>
      </c>
      <c r="H255" s="10" t="n">
        <v>112.3</v>
      </c>
      <c r="I255" s="10" t="n">
        <v>1.3</v>
      </c>
    </row>
    <row r="256" customFormat="false" ht="15" hidden="false" customHeight="false" outlineLevel="0" collapsed="false">
      <c r="A256" s="8" t="n">
        <v>31</v>
      </c>
      <c r="B256" s="8" t="s">
        <v>84</v>
      </c>
      <c r="C256" s="8" t="s">
        <v>390</v>
      </c>
      <c r="D256" s="5" t="s">
        <v>391</v>
      </c>
      <c r="E256" s="9" t="n">
        <v>1162</v>
      </c>
      <c r="F256" s="10" t="n">
        <v>49.8</v>
      </c>
      <c r="G256" s="10" t="n">
        <v>40.6</v>
      </c>
      <c r="H256" s="10" t="n">
        <v>151.8</v>
      </c>
      <c r="I256" s="10" t="n">
        <v>6.8</v>
      </c>
    </row>
    <row r="257" customFormat="false" ht="15" hidden="false" customHeight="false" outlineLevel="0" collapsed="false">
      <c r="A257" s="8" t="n">
        <v>31</v>
      </c>
      <c r="B257" s="8" t="s">
        <v>84</v>
      </c>
      <c r="C257" s="8" t="s">
        <v>61</v>
      </c>
      <c r="D257" s="5" t="s">
        <v>74</v>
      </c>
      <c r="E257" s="9" t="n">
        <v>334</v>
      </c>
      <c r="F257" s="10" t="n">
        <v>26.1</v>
      </c>
      <c r="G257" s="10" t="n">
        <v>2.2</v>
      </c>
      <c r="H257" s="10" t="n">
        <v>55.6</v>
      </c>
      <c r="I257" s="10" t="n">
        <v>2.6</v>
      </c>
    </row>
    <row r="258" customFormat="false" ht="15" hidden="false" customHeight="false" outlineLevel="0" collapsed="false">
      <c r="A258" s="8" t="n">
        <v>31</v>
      </c>
      <c r="B258" s="8" t="s">
        <v>84</v>
      </c>
      <c r="C258" s="8" t="s">
        <v>62</v>
      </c>
      <c r="D258" s="5" t="s">
        <v>179</v>
      </c>
      <c r="E258" s="9" t="n">
        <v>221</v>
      </c>
      <c r="F258" s="10" t="n">
        <v>0</v>
      </c>
      <c r="G258" s="10" t="n">
        <v>25</v>
      </c>
      <c r="H258" s="10" t="n">
        <v>0</v>
      </c>
      <c r="I258" s="10" t="n">
        <v>0</v>
      </c>
    </row>
    <row r="259" customFormat="false" ht="15" hidden="false" customHeight="false" outlineLevel="0" collapsed="false">
      <c r="A259" s="3"/>
      <c r="B259" s="3"/>
      <c r="C259" s="15" t="s">
        <v>243</v>
      </c>
      <c r="D259" s="15" t="s">
        <v>392</v>
      </c>
      <c r="E259" s="16" t="n">
        <f aca="false">SUM(E252:E258)</f>
        <v>4240</v>
      </c>
      <c r="F259" s="17" t="n">
        <f aca="false">SUM(F252:F258)</f>
        <v>218.2</v>
      </c>
      <c r="G259" s="17" t="n">
        <f aca="false">SUM(G252:G258)</f>
        <v>110.5</v>
      </c>
      <c r="H259" s="17" t="n">
        <f aca="false">SUM(H252:H258)</f>
        <v>599.1</v>
      </c>
      <c r="I259" s="17" t="n">
        <f aca="false">SUM(I252:I258)</f>
        <v>40.2</v>
      </c>
    </row>
    <row r="261" customFormat="false" ht="15" hidden="false" customHeight="false" outlineLevel="0" collapsed="false">
      <c r="A261" s="8" t="n">
        <v>32</v>
      </c>
      <c r="B261" s="8" t="s">
        <v>91</v>
      </c>
      <c r="C261" s="8" t="s">
        <v>56</v>
      </c>
      <c r="D261" s="5" t="s">
        <v>78</v>
      </c>
      <c r="E261" s="9" t="n">
        <v>630</v>
      </c>
      <c r="F261" s="10" t="n">
        <v>34.2</v>
      </c>
      <c r="G261" s="10" t="n">
        <v>18.1</v>
      </c>
      <c r="H261" s="10" t="n">
        <v>80.6</v>
      </c>
      <c r="I261" s="10" t="n">
        <v>11.9</v>
      </c>
    </row>
    <row r="262" customFormat="false" ht="15" hidden="false" customHeight="false" outlineLevel="0" collapsed="false">
      <c r="A262" s="8" t="n">
        <v>32</v>
      </c>
      <c r="B262" s="8" t="s">
        <v>91</v>
      </c>
      <c r="C262" s="8" t="s">
        <v>57</v>
      </c>
      <c r="D262" s="5" t="s">
        <v>79</v>
      </c>
      <c r="E262" s="9" t="n">
        <v>419</v>
      </c>
      <c r="F262" s="10" t="n">
        <v>5.3</v>
      </c>
      <c r="G262" s="10" t="n">
        <v>1.4</v>
      </c>
      <c r="H262" s="10" t="n">
        <v>100.7</v>
      </c>
      <c r="I262" s="10" t="n">
        <v>4.7</v>
      </c>
    </row>
    <row r="263" customFormat="false" ht="15" hidden="false" customHeight="false" outlineLevel="0" collapsed="false">
      <c r="A263" s="8" t="n">
        <v>32</v>
      </c>
      <c r="B263" s="8" t="s">
        <v>91</v>
      </c>
      <c r="C263" s="8" t="s">
        <v>245</v>
      </c>
      <c r="D263" s="5" t="s">
        <v>246</v>
      </c>
      <c r="E263" s="9" t="n">
        <v>744</v>
      </c>
      <c r="F263" s="10" t="n">
        <v>46.7</v>
      </c>
      <c r="G263" s="10" t="n">
        <v>16.6</v>
      </c>
      <c r="H263" s="10" t="n">
        <v>100.9</v>
      </c>
      <c r="I263" s="10" t="n">
        <v>10.4</v>
      </c>
    </row>
    <row r="264" customFormat="false" ht="15" hidden="false" customHeight="false" outlineLevel="0" collapsed="false">
      <c r="A264" s="8" t="n">
        <v>32</v>
      </c>
      <c r="B264" s="8" t="s">
        <v>91</v>
      </c>
      <c r="C264" s="8" t="s">
        <v>59</v>
      </c>
      <c r="D264" s="5" t="s">
        <v>81</v>
      </c>
      <c r="E264" s="9" t="n">
        <v>546</v>
      </c>
      <c r="F264" s="10" t="n">
        <v>33</v>
      </c>
      <c r="G264" s="10" t="n">
        <v>6.4</v>
      </c>
      <c r="H264" s="10" t="n">
        <v>88</v>
      </c>
      <c r="I264" s="10" t="n">
        <v>9.5</v>
      </c>
    </row>
    <row r="265" customFormat="false" ht="15" hidden="false" customHeight="false" outlineLevel="0" collapsed="false">
      <c r="A265" s="8" t="n">
        <v>32</v>
      </c>
      <c r="B265" s="8" t="s">
        <v>91</v>
      </c>
      <c r="C265" s="8" t="s">
        <v>393</v>
      </c>
      <c r="D265" s="5" t="s">
        <v>394</v>
      </c>
      <c r="E265" s="9" t="n">
        <v>996</v>
      </c>
      <c r="F265" s="10" t="n">
        <v>64.1</v>
      </c>
      <c r="G265" s="10" t="n">
        <v>22.7</v>
      </c>
      <c r="H265" s="10" t="n">
        <v>134.7</v>
      </c>
      <c r="I265" s="10" t="n">
        <v>16.6</v>
      </c>
    </row>
    <row r="266" customFormat="false" ht="15" hidden="false" customHeight="false" outlineLevel="0" collapsed="false">
      <c r="A266" s="8" t="n">
        <v>32</v>
      </c>
      <c r="B266" s="8" t="s">
        <v>91</v>
      </c>
      <c r="C266" s="8" t="s">
        <v>61</v>
      </c>
      <c r="D266" s="5" t="s">
        <v>83</v>
      </c>
      <c r="E266" s="9" t="n">
        <v>305</v>
      </c>
      <c r="F266" s="10" t="n">
        <v>27.1</v>
      </c>
      <c r="G266" s="10" t="n">
        <v>1.9</v>
      </c>
      <c r="H266" s="10" t="n">
        <v>47.5</v>
      </c>
      <c r="I266" s="10" t="n">
        <v>2.4</v>
      </c>
    </row>
    <row r="267" customFormat="false" ht="15" hidden="false" customHeight="false" outlineLevel="0" collapsed="false">
      <c r="A267" s="8" t="n">
        <v>32</v>
      </c>
      <c r="B267" s="8" t="s">
        <v>91</v>
      </c>
      <c r="C267" s="8" t="s">
        <v>62</v>
      </c>
      <c r="D267" s="5" t="s">
        <v>181</v>
      </c>
      <c r="E267" s="9" t="n">
        <v>299</v>
      </c>
      <c r="F267" s="10" t="n">
        <v>9.9</v>
      </c>
      <c r="G267" s="10" t="n">
        <v>17.5</v>
      </c>
      <c r="H267" s="10" t="n">
        <v>29.2</v>
      </c>
      <c r="I267" s="10" t="n">
        <v>4.8</v>
      </c>
    </row>
    <row r="268" customFormat="false" ht="15" hidden="false" customHeight="false" outlineLevel="0" collapsed="false">
      <c r="A268" s="3"/>
      <c r="B268" s="3"/>
      <c r="C268" s="15" t="s">
        <v>243</v>
      </c>
      <c r="D268" s="15" t="s">
        <v>395</v>
      </c>
      <c r="E268" s="16" t="n">
        <f aca="false">SUM(E261:E267)</f>
        <v>3939</v>
      </c>
      <c r="F268" s="17" t="n">
        <f aca="false">SUM(F261:F267)</f>
        <v>220.3</v>
      </c>
      <c r="G268" s="17" t="n">
        <f aca="false">SUM(G261:G267)</f>
        <v>84.6</v>
      </c>
      <c r="H268" s="17" t="n">
        <f aca="false">SUM(H261:H267)</f>
        <v>581.6</v>
      </c>
      <c r="I268" s="17" t="n">
        <f aca="false">SUM(I261:I267)</f>
        <v>60.3</v>
      </c>
    </row>
    <row r="270" customFormat="false" ht="15" hidden="false" customHeight="false" outlineLevel="0" collapsed="false">
      <c r="A270" s="8" t="n">
        <v>33</v>
      </c>
      <c r="B270" s="8" t="s">
        <v>97</v>
      </c>
      <c r="C270" s="8" t="s">
        <v>56</v>
      </c>
      <c r="D270" s="5" t="s">
        <v>85</v>
      </c>
      <c r="E270" s="9" t="n">
        <v>687</v>
      </c>
      <c r="F270" s="10" t="n">
        <v>43</v>
      </c>
      <c r="G270" s="10" t="n">
        <v>17.3</v>
      </c>
      <c r="H270" s="10" t="n">
        <v>92.7</v>
      </c>
      <c r="I270" s="10" t="n">
        <v>5.5</v>
      </c>
    </row>
    <row r="271" customFormat="false" ht="15" hidden="false" customHeight="false" outlineLevel="0" collapsed="false">
      <c r="A271" s="8" t="n">
        <v>33</v>
      </c>
      <c r="B271" s="8" t="s">
        <v>97</v>
      </c>
      <c r="C271" s="8" t="s">
        <v>250</v>
      </c>
      <c r="D271" s="5" t="s">
        <v>251</v>
      </c>
      <c r="E271" s="9" t="n">
        <v>888</v>
      </c>
      <c r="F271" s="10" t="n">
        <v>66.3</v>
      </c>
      <c r="G271" s="10" t="n">
        <v>26.8</v>
      </c>
      <c r="H271" s="10" t="n">
        <v>90</v>
      </c>
      <c r="I271" s="10" t="n">
        <v>9.2</v>
      </c>
    </row>
    <row r="272" customFormat="false" ht="15" hidden="false" customHeight="false" outlineLevel="0" collapsed="false">
      <c r="A272" s="8" t="n">
        <v>33</v>
      </c>
      <c r="B272" s="8" t="s">
        <v>97</v>
      </c>
      <c r="C272" s="8" t="s">
        <v>396</v>
      </c>
      <c r="D272" s="5" t="s">
        <v>397</v>
      </c>
      <c r="E272" s="9" t="n">
        <v>1137</v>
      </c>
      <c r="F272" s="10" t="n">
        <v>58</v>
      </c>
      <c r="G272" s="10" t="n">
        <v>22.2</v>
      </c>
      <c r="H272" s="10" t="n">
        <v>176.3</v>
      </c>
      <c r="I272" s="10" t="n">
        <v>20</v>
      </c>
    </row>
    <row r="273" customFormat="false" ht="15" hidden="false" customHeight="false" outlineLevel="0" collapsed="false">
      <c r="A273" s="8" t="n">
        <v>33</v>
      </c>
      <c r="B273" s="8" t="s">
        <v>97</v>
      </c>
      <c r="C273" s="8" t="s">
        <v>61</v>
      </c>
      <c r="D273" s="5" t="s">
        <v>89</v>
      </c>
      <c r="E273" s="9" t="n">
        <v>297</v>
      </c>
      <c r="F273" s="10" t="n">
        <v>23.9</v>
      </c>
      <c r="G273" s="10" t="n">
        <v>10.2</v>
      </c>
      <c r="H273" s="10" t="n">
        <v>30.2</v>
      </c>
      <c r="I273" s="10" t="n">
        <v>1.1</v>
      </c>
    </row>
    <row r="274" customFormat="false" ht="15" hidden="false" customHeight="false" outlineLevel="0" collapsed="false">
      <c r="A274" s="8" t="n">
        <v>33</v>
      </c>
      <c r="B274" s="8" t="s">
        <v>97</v>
      </c>
      <c r="C274" s="8" t="s">
        <v>62</v>
      </c>
      <c r="D274" s="5" t="s">
        <v>183</v>
      </c>
      <c r="E274" s="9" t="n">
        <v>1121</v>
      </c>
      <c r="F274" s="10" t="n">
        <v>16.8</v>
      </c>
      <c r="G274" s="10" t="n">
        <v>32.4</v>
      </c>
      <c r="H274" s="10" t="n">
        <v>188.2</v>
      </c>
      <c r="I274" s="10" t="n">
        <v>2.9</v>
      </c>
    </row>
    <row r="275" customFormat="false" ht="15" hidden="false" customHeight="false" outlineLevel="0" collapsed="false">
      <c r="A275" s="3"/>
      <c r="B275" s="3"/>
      <c r="C275" s="15" t="s">
        <v>243</v>
      </c>
      <c r="D275" s="15" t="s">
        <v>398</v>
      </c>
      <c r="E275" s="16" t="n">
        <f aca="false">SUM(E270:E274)</f>
        <v>4130</v>
      </c>
      <c r="F275" s="17" t="n">
        <f aca="false">SUM(F270:F274)</f>
        <v>208</v>
      </c>
      <c r="G275" s="17" t="n">
        <f aca="false">SUM(G270:G274)</f>
        <v>108.9</v>
      </c>
      <c r="H275" s="17" t="n">
        <f aca="false">SUM(H270:H274)</f>
        <v>577.4</v>
      </c>
      <c r="I275" s="17" t="n">
        <f aca="false">SUM(I270:I274)</f>
        <v>38.7</v>
      </c>
    </row>
    <row r="277" customFormat="false" ht="15" hidden="false" customHeight="false" outlineLevel="0" collapsed="false">
      <c r="A277" s="8" t="n">
        <v>34</v>
      </c>
      <c r="B277" s="8" t="s">
        <v>102</v>
      </c>
      <c r="C277" s="8" t="s">
        <v>56</v>
      </c>
      <c r="D277" s="5" t="s">
        <v>70</v>
      </c>
      <c r="E277" s="9" t="n">
        <v>737</v>
      </c>
      <c r="F277" s="10" t="n">
        <v>44.8</v>
      </c>
      <c r="G277" s="10" t="n">
        <v>23.9</v>
      </c>
      <c r="H277" s="10" t="n">
        <v>86.1</v>
      </c>
      <c r="I277" s="10" t="n">
        <v>14.3</v>
      </c>
    </row>
    <row r="278" customFormat="false" ht="15" hidden="false" customHeight="false" outlineLevel="0" collapsed="false">
      <c r="A278" s="8" t="n">
        <v>34</v>
      </c>
      <c r="B278" s="8" t="s">
        <v>102</v>
      </c>
      <c r="C278" s="8" t="s">
        <v>57</v>
      </c>
      <c r="D278" s="5" t="s">
        <v>79</v>
      </c>
      <c r="E278" s="9" t="n">
        <v>419</v>
      </c>
      <c r="F278" s="10" t="n">
        <v>5.3</v>
      </c>
      <c r="G278" s="10" t="n">
        <v>1.4</v>
      </c>
      <c r="H278" s="10" t="n">
        <v>100.7</v>
      </c>
      <c r="I278" s="10" t="n">
        <v>4.7</v>
      </c>
    </row>
    <row r="279" customFormat="false" ht="15" hidden="false" customHeight="false" outlineLevel="0" collapsed="false">
      <c r="A279" s="8" t="n">
        <v>34</v>
      </c>
      <c r="B279" s="8" t="s">
        <v>102</v>
      </c>
      <c r="C279" s="8" t="s">
        <v>255</v>
      </c>
      <c r="D279" s="5" t="s">
        <v>256</v>
      </c>
      <c r="E279" s="9" t="n">
        <v>764</v>
      </c>
      <c r="F279" s="10" t="n">
        <v>40.1</v>
      </c>
      <c r="G279" s="10" t="n">
        <v>8.3</v>
      </c>
      <c r="H279" s="10" t="n">
        <v>132.9</v>
      </c>
      <c r="I279" s="10" t="n">
        <v>16</v>
      </c>
    </row>
    <row r="280" customFormat="false" ht="15" hidden="false" customHeight="false" outlineLevel="0" collapsed="false">
      <c r="A280" s="8" t="n">
        <v>34</v>
      </c>
      <c r="B280" s="8" t="s">
        <v>102</v>
      </c>
      <c r="C280" s="8" t="s">
        <v>59</v>
      </c>
      <c r="D280" s="5" t="s">
        <v>93</v>
      </c>
      <c r="E280" s="9" t="n">
        <v>603</v>
      </c>
      <c r="F280" s="10" t="n">
        <v>34.2</v>
      </c>
      <c r="G280" s="10" t="n">
        <v>1.4</v>
      </c>
      <c r="H280" s="10" t="n">
        <v>112.3</v>
      </c>
      <c r="I280" s="10" t="n">
        <v>1.3</v>
      </c>
    </row>
    <row r="281" customFormat="false" ht="15" hidden="false" customHeight="false" outlineLevel="0" collapsed="false">
      <c r="A281" s="8" t="n">
        <v>34</v>
      </c>
      <c r="B281" s="8" t="s">
        <v>102</v>
      </c>
      <c r="C281" s="8" t="s">
        <v>399</v>
      </c>
      <c r="D281" s="5" t="s">
        <v>400</v>
      </c>
      <c r="E281" s="9" t="n">
        <v>1058</v>
      </c>
      <c r="F281" s="10" t="n">
        <v>68.1</v>
      </c>
      <c r="G281" s="10" t="n">
        <v>32.9</v>
      </c>
      <c r="H281" s="10" t="n">
        <v>120.3</v>
      </c>
      <c r="I281" s="10" t="n">
        <v>9.1</v>
      </c>
    </row>
    <row r="282" customFormat="false" ht="15" hidden="false" customHeight="false" outlineLevel="0" collapsed="false">
      <c r="A282" s="8" t="n">
        <v>34</v>
      </c>
      <c r="B282" s="8" t="s">
        <v>102</v>
      </c>
      <c r="C282" s="8" t="s">
        <v>61</v>
      </c>
      <c r="D282" s="5" t="s">
        <v>95</v>
      </c>
      <c r="E282" s="9" t="n">
        <v>250</v>
      </c>
      <c r="F282" s="10" t="n">
        <v>21.4</v>
      </c>
      <c r="G282" s="10" t="n">
        <v>0.8</v>
      </c>
      <c r="H282" s="10" t="n">
        <v>40.2</v>
      </c>
      <c r="I282" s="10" t="n">
        <v>0.4</v>
      </c>
    </row>
    <row r="283" customFormat="false" ht="15" hidden="false" customHeight="false" outlineLevel="0" collapsed="false">
      <c r="A283" s="8" t="n">
        <v>34</v>
      </c>
      <c r="B283" s="8" t="s">
        <v>102</v>
      </c>
      <c r="C283" s="8" t="s">
        <v>62</v>
      </c>
      <c r="D283" s="5" t="s">
        <v>185</v>
      </c>
      <c r="E283" s="9" t="n">
        <v>147</v>
      </c>
      <c r="F283" s="10" t="n">
        <v>6.2</v>
      </c>
      <c r="G283" s="10" t="n">
        <v>12.2</v>
      </c>
      <c r="H283" s="10" t="n">
        <v>3.8</v>
      </c>
      <c r="I283" s="10" t="n">
        <v>1.5</v>
      </c>
    </row>
    <row r="284" customFormat="false" ht="15" hidden="false" customHeight="false" outlineLevel="0" collapsed="false">
      <c r="A284" s="3"/>
      <c r="B284" s="3"/>
      <c r="C284" s="15" t="s">
        <v>243</v>
      </c>
      <c r="D284" s="15" t="s">
        <v>401</v>
      </c>
      <c r="E284" s="16" t="n">
        <f aca="false">SUM(E277:E283)</f>
        <v>3978</v>
      </c>
      <c r="F284" s="17" t="n">
        <f aca="false">SUM(F277:F283)</f>
        <v>220.1</v>
      </c>
      <c r="G284" s="17" t="n">
        <f aca="false">SUM(G277:G283)</f>
        <v>80.9</v>
      </c>
      <c r="H284" s="17" t="n">
        <f aca="false">SUM(H277:H283)</f>
        <v>596.3</v>
      </c>
      <c r="I284" s="17" t="n">
        <f aca="false">SUM(I277:I283)</f>
        <v>47.3</v>
      </c>
    </row>
    <row r="286" customFormat="false" ht="15" hidden="false" customHeight="false" outlineLevel="0" collapsed="false">
      <c r="A286" s="8" t="n">
        <v>35</v>
      </c>
      <c r="B286" s="8" t="s">
        <v>107</v>
      </c>
      <c r="C286" s="8" t="s">
        <v>56</v>
      </c>
      <c r="D286" s="5" t="s">
        <v>78</v>
      </c>
      <c r="E286" s="9" t="n">
        <v>630</v>
      </c>
      <c r="F286" s="10" t="n">
        <v>34.2</v>
      </c>
      <c r="G286" s="10" t="n">
        <v>18.1</v>
      </c>
      <c r="H286" s="10" t="n">
        <v>80.6</v>
      </c>
      <c r="I286" s="10" t="n">
        <v>11.9</v>
      </c>
    </row>
    <row r="287" customFormat="false" ht="15" hidden="false" customHeight="false" outlineLevel="0" collapsed="false">
      <c r="A287" s="8" t="n">
        <v>35</v>
      </c>
      <c r="B287" s="8" t="s">
        <v>107</v>
      </c>
      <c r="C287" s="8" t="s">
        <v>57</v>
      </c>
      <c r="D287" s="5" t="s">
        <v>79</v>
      </c>
      <c r="E287" s="9" t="n">
        <v>419</v>
      </c>
      <c r="F287" s="10" t="n">
        <v>5.3</v>
      </c>
      <c r="G287" s="10" t="n">
        <v>1.4</v>
      </c>
      <c r="H287" s="10" t="n">
        <v>100.7</v>
      </c>
      <c r="I287" s="10" t="n">
        <v>4.7</v>
      </c>
    </row>
    <row r="288" customFormat="false" ht="15" hidden="false" customHeight="false" outlineLevel="0" collapsed="false">
      <c r="A288" s="8" t="n">
        <v>35</v>
      </c>
      <c r="B288" s="8" t="s">
        <v>107</v>
      </c>
      <c r="C288" s="8" t="s">
        <v>260</v>
      </c>
      <c r="D288" s="5" t="s">
        <v>261</v>
      </c>
      <c r="E288" s="9" t="n">
        <v>854</v>
      </c>
      <c r="F288" s="10" t="n">
        <v>52.6</v>
      </c>
      <c r="G288" s="10" t="n">
        <v>38.8</v>
      </c>
      <c r="H288" s="10" t="n">
        <v>63.6</v>
      </c>
      <c r="I288" s="10" t="n">
        <v>10.7</v>
      </c>
    </row>
    <row r="289" customFormat="false" ht="15" hidden="false" customHeight="false" outlineLevel="0" collapsed="false">
      <c r="A289" s="8" t="n">
        <v>35</v>
      </c>
      <c r="B289" s="8" t="s">
        <v>107</v>
      </c>
      <c r="C289" s="8" t="s">
        <v>59</v>
      </c>
      <c r="D289" s="5" t="s">
        <v>81</v>
      </c>
      <c r="E289" s="9" t="n">
        <v>546</v>
      </c>
      <c r="F289" s="10" t="n">
        <v>33</v>
      </c>
      <c r="G289" s="10" t="n">
        <v>6.4</v>
      </c>
      <c r="H289" s="10" t="n">
        <v>88</v>
      </c>
      <c r="I289" s="10" t="n">
        <v>9.5</v>
      </c>
    </row>
    <row r="290" customFormat="false" ht="15" hidden="false" customHeight="false" outlineLevel="0" collapsed="false">
      <c r="A290" s="8" t="n">
        <v>35</v>
      </c>
      <c r="B290" s="8" t="s">
        <v>107</v>
      </c>
      <c r="C290" s="8" t="s">
        <v>402</v>
      </c>
      <c r="D290" s="5" t="s">
        <v>403</v>
      </c>
      <c r="E290" s="9" t="n">
        <v>981</v>
      </c>
      <c r="F290" s="10" t="n">
        <v>46.7</v>
      </c>
      <c r="G290" s="10" t="n">
        <v>22</v>
      </c>
      <c r="H290" s="10" t="n">
        <v>148.2</v>
      </c>
      <c r="I290" s="10" t="n">
        <v>18.1</v>
      </c>
    </row>
    <row r="291" customFormat="false" ht="15" hidden="false" customHeight="false" outlineLevel="0" collapsed="false">
      <c r="A291" s="8" t="n">
        <v>35</v>
      </c>
      <c r="B291" s="8" t="s">
        <v>107</v>
      </c>
      <c r="C291" s="8" t="s">
        <v>61</v>
      </c>
      <c r="D291" s="5" t="s">
        <v>100</v>
      </c>
      <c r="E291" s="9" t="n">
        <v>439</v>
      </c>
      <c r="F291" s="10" t="n">
        <v>16.3</v>
      </c>
      <c r="G291" s="10" t="n">
        <v>16.4</v>
      </c>
      <c r="H291" s="10" t="n">
        <v>58.1</v>
      </c>
      <c r="I291" s="10" t="n">
        <v>3.2</v>
      </c>
    </row>
    <row r="292" customFormat="false" ht="15" hidden="false" customHeight="false" outlineLevel="0" collapsed="false">
      <c r="A292" s="8" t="n">
        <v>35</v>
      </c>
      <c r="B292" s="8" t="s">
        <v>107</v>
      </c>
      <c r="C292" s="8" t="s">
        <v>62</v>
      </c>
      <c r="D292" s="5" t="s">
        <v>187</v>
      </c>
      <c r="E292" s="9" t="n">
        <v>231</v>
      </c>
      <c r="F292" s="10" t="n">
        <v>2.9</v>
      </c>
      <c r="G292" s="10" t="n">
        <v>5.8</v>
      </c>
      <c r="H292" s="10" t="n">
        <v>43</v>
      </c>
      <c r="I292" s="10" t="n">
        <v>0.8</v>
      </c>
    </row>
    <row r="293" customFormat="false" ht="15" hidden="false" customHeight="false" outlineLevel="0" collapsed="false">
      <c r="A293" s="3"/>
      <c r="B293" s="3"/>
      <c r="C293" s="15" t="s">
        <v>243</v>
      </c>
      <c r="D293" s="15" t="s">
        <v>404</v>
      </c>
      <c r="E293" s="16" t="n">
        <f aca="false">SUM(E286:E292)</f>
        <v>4100</v>
      </c>
      <c r="F293" s="17" t="n">
        <f aca="false">SUM(F286:F292)</f>
        <v>191</v>
      </c>
      <c r="G293" s="17" t="n">
        <f aca="false">SUM(G286:G292)</f>
        <v>108.9</v>
      </c>
      <c r="H293" s="17" t="n">
        <f aca="false">SUM(H286:H292)</f>
        <v>582.2</v>
      </c>
      <c r="I293" s="17" t="n">
        <f aca="false">SUM(I286:I292)</f>
        <v>58.9</v>
      </c>
    </row>
    <row r="295" customFormat="false" ht="15" hidden="false" customHeight="false" outlineLevel="0" collapsed="false">
      <c r="A295" s="8" t="n">
        <v>36</v>
      </c>
      <c r="B295" s="8" t="s">
        <v>68</v>
      </c>
      <c r="C295" s="8" t="s">
        <v>56</v>
      </c>
      <c r="D295" s="5" t="s">
        <v>85</v>
      </c>
      <c r="E295" s="9" t="n">
        <v>687</v>
      </c>
      <c r="F295" s="10" t="n">
        <v>43</v>
      </c>
      <c r="G295" s="10" t="n">
        <v>17.3</v>
      </c>
      <c r="H295" s="10" t="n">
        <v>92.7</v>
      </c>
      <c r="I295" s="10" t="n">
        <v>5.5</v>
      </c>
    </row>
    <row r="296" customFormat="false" ht="15" hidden="false" customHeight="false" outlineLevel="0" collapsed="false">
      <c r="A296" s="8" t="n">
        <v>36</v>
      </c>
      <c r="B296" s="8" t="s">
        <v>68</v>
      </c>
      <c r="C296" s="8" t="s">
        <v>265</v>
      </c>
      <c r="D296" s="5" t="s">
        <v>266</v>
      </c>
      <c r="E296" s="9" t="n">
        <v>817</v>
      </c>
      <c r="F296" s="10" t="n">
        <v>35</v>
      </c>
      <c r="G296" s="10" t="n">
        <v>32.3</v>
      </c>
      <c r="H296" s="10" t="n">
        <v>90.4</v>
      </c>
      <c r="I296" s="10" t="n">
        <v>22.2</v>
      </c>
    </row>
    <row r="297" customFormat="false" ht="15" hidden="false" customHeight="false" outlineLevel="0" collapsed="false">
      <c r="A297" s="8" t="n">
        <v>36</v>
      </c>
      <c r="B297" s="8" t="s">
        <v>68</v>
      </c>
      <c r="C297" s="8" t="s">
        <v>405</v>
      </c>
      <c r="D297" s="5" t="s">
        <v>406</v>
      </c>
      <c r="E297" s="9" t="n">
        <v>1199</v>
      </c>
      <c r="F297" s="10" t="n">
        <v>77.6</v>
      </c>
      <c r="G297" s="10" t="n">
        <v>31.2</v>
      </c>
      <c r="H297" s="10" t="n">
        <v>151.3</v>
      </c>
      <c r="I297" s="10" t="n">
        <v>13.6</v>
      </c>
    </row>
    <row r="298" customFormat="false" ht="15" hidden="false" customHeight="false" outlineLevel="0" collapsed="false">
      <c r="A298" s="8" t="n">
        <v>36</v>
      </c>
      <c r="B298" s="8" t="s">
        <v>68</v>
      </c>
      <c r="C298" s="8" t="s">
        <v>61</v>
      </c>
      <c r="D298" s="5" t="s">
        <v>105</v>
      </c>
      <c r="E298" s="9" t="n">
        <v>279</v>
      </c>
      <c r="F298" s="10" t="n">
        <v>25.6</v>
      </c>
      <c r="G298" s="10" t="n">
        <v>2</v>
      </c>
      <c r="H298" s="10" t="n">
        <v>42.2</v>
      </c>
      <c r="I298" s="10" t="n">
        <v>2.7</v>
      </c>
    </row>
    <row r="299" customFormat="false" ht="15" hidden="false" customHeight="false" outlineLevel="0" collapsed="false">
      <c r="A299" s="8" t="n">
        <v>36</v>
      </c>
      <c r="B299" s="8" t="s">
        <v>68</v>
      </c>
      <c r="C299" s="8" t="s">
        <v>62</v>
      </c>
      <c r="D299" s="5" t="s">
        <v>189</v>
      </c>
      <c r="E299" s="9" t="n">
        <v>954</v>
      </c>
      <c r="F299" s="10" t="n">
        <v>28.6</v>
      </c>
      <c r="G299" s="10" t="n">
        <v>10.2</v>
      </c>
      <c r="H299" s="10" t="n">
        <v>181.2</v>
      </c>
      <c r="I299" s="10" t="n">
        <v>26</v>
      </c>
    </row>
    <row r="300" customFormat="false" ht="15" hidden="false" customHeight="false" outlineLevel="0" collapsed="false">
      <c r="A300" s="3"/>
      <c r="B300" s="3"/>
      <c r="C300" s="15" t="s">
        <v>243</v>
      </c>
      <c r="D300" s="15" t="s">
        <v>407</v>
      </c>
      <c r="E300" s="16" t="n">
        <f aca="false">SUM(E295:E299)</f>
        <v>3936</v>
      </c>
      <c r="F300" s="17" t="n">
        <f aca="false">SUM(F295:F299)</f>
        <v>209.8</v>
      </c>
      <c r="G300" s="17" t="n">
        <f aca="false">SUM(G295:G299)</f>
        <v>93</v>
      </c>
      <c r="H300" s="17" t="n">
        <f aca="false">SUM(H295:H299)</f>
        <v>557.8</v>
      </c>
      <c r="I300" s="17" t="n">
        <f aca="false">SUM(I295:I299)</f>
        <v>70</v>
      </c>
    </row>
    <row r="302" customFormat="false" ht="15" hidden="false" customHeight="false" outlineLevel="0" collapsed="false">
      <c r="A302" s="8" t="n">
        <v>37</v>
      </c>
      <c r="B302" s="8" t="s">
        <v>76</v>
      </c>
      <c r="C302" s="8" t="s">
        <v>56</v>
      </c>
      <c r="D302" s="5" t="s">
        <v>70</v>
      </c>
      <c r="E302" s="9" t="n">
        <v>737</v>
      </c>
      <c r="F302" s="10" t="n">
        <v>44.8</v>
      </c>
      <c r="G302" s="10" t="n">
        <v>23.9</v>
      </c>
      <c r="H302" s="10" t="n">
        <v>86.1</v>
      </c>
      <c r="I302" s="10" t="n">
        <v>14.3</v>
      </c>
    </row>
    <row r="303" customFormat="false" ht="15" hidden="false" customHeight="false" outlineLevel="0" collapsed="false">
      <c r="A303" s="8" t="n">
        <v>37</v>
      </c>
      <c r="B303" s="8" t="s">
        <v>76</v>
      </c>
      <c r="C303" s="8" t="s">
        <v>57</v>
      </c>
      <c r="D303" s="5" t="s">
        <v>79</v>
      </c>
      <c r="E303" s="9" t="n">
        <v>419</v>
      </c>
      <c r="F303" s="10" t="n">
        <v>5.3</v>
      </c>
      <c r="G303" s="10" t="n">
        <v>1.4</v>
      </c>
      <c r="H303" s="10" t="n">
        <v>100.7</v>
      </c>
      <c r="I303" s="10" t="n">
        <v>4.7</v>
      </c>
    </row>
    <row r="304" customFormat="false" ht="15" hidden="false" customHeight="false" outlineLevel="0" collapsed="false">
      <c r="A304" s="8" t="n">
        <v>37</v>
      </c>
      <c r="B304" s="8" t="s">
        <v>76</v>
      </c>
      <c r="C304" s="8" t="s">
        <v>270</v>
      </c>
      <c r="D304" s="5" t="s">
        <v>271</v>
      </c>
      <c r="E304" s="9" t="n">
        <v>840</v>
      </c>
      <c r="F304" s="10" t="n">
        <v>36.6</v>
      </c>
      <c r="G304" s="10" t="n">
        <v>39</v>
      </c>
      <c r="H304" s="10" t="n">
        <v>75.1</v>
      </c>
      <c r="I304" s="10" t="n">
        <v>12.7</v>
      </c>
    </row>
    <row r="305" customFormat="false" ht="15" hidden="false" customHeight="false" outlineLevel="0" collapsed="false">
      <c r="A305" s="8" t="n">
        <v>37</v>
      </c>
      <c r="B305" s="8" t="s">
        <v>76</v>
      </c>
      <c r="C305" s="8" t="s">
        <v>59</v>
      </c>
      <c r="D305" s="5" t="s">
        <v>93</v>
      </c>
      <c r="E305" s="9" t="n">
        <v>603</v>
      </c>
      <c r="F305" s="10" t="n">
        <v>34.2</v>
      </c>
      <c r="G305" s="10" t="n">
        <v>1.4</v>
      </c>
      <c r="H305" s="10" t="n">
        <v>112.3</v>
      </c>
      <c r="I305" s="10" t="n">
        <v>1.3</v>
      </c>
    </row>
    <row r="306" customFormat="false" ht="15" hidden="false" customHeight="false" outlineLevel="0" collapsed="false">
      <c r="A306" s="8" t="n">
        <v>37</v>
      </c>
      <c r="B306" s="8" t="s">
        <v>76</v>
      </c>
      <c r="C306" s="8" t="s">
        <v>408</v>
      </c>
      <c r="D306" s="5" t="s">
        <v>409</v>
      </c>
      <c r="E306" s="9" t="n">
        <v>1106</v>
      </c>
      <c r="F306" s="10" t="n">
        <v>74.8</v>
      </c>
      <c r="G306" s="10" t="n">
        <v>25.3</v>
      </c>
      <c r="H306" s="10" t="n">
        <v>140.1</v>
      </c>
      <c r="I306" s="10" t="n">
        <v>11.8</v>
      </c>
    </row>
    <row r="307" customFormat="false" ht="15" hidden="false" customHeight="false" outlineLevel="0" collapsed="false">
      <c r="A307" s="8" t="n">
        <v>37</v>
      </c>
      <c r="B307" s="8" t="s">
        <v>76</v>
      </c>
      <c r="C307" s="8" t="s">
        <v>61</v>
      </c>
      <c r="D307" s="5" t="s">
        <v>74</v>
      </c>
      <c r="E307" s="9" t="n">
        <v>334</v>
      </c>
      <c r="F307" s="10" t="n">
        <v>26.1</v>
      </c>
      <c r="G307" s="10" t="n">
        <v>2.2</v>
      </c>
      <c r="H307" s="10" t="n">
        <v>55.6</v>
      </c>
      <c r="I307" s="10" t="n">
        <v>2.6</v>
      </c>
    </row>
    <row r="308" customFormat="false" ht="15" hidden="false" customHeight="false" outlineLevel="0" collapsed="false">
      <c r="A308" s="8" t="n">
        <v>37</v>
      </c>
      <c r="B308" s="8" t="s">
        <v>76</v>
      </c>
      <c r="C308" s="8" t="s">
        <v>62</v>
      </c>
      <c r="D308" s="5" t="s">
        <v>191</v>
      </c>
      <c r="E308" s="9" t="n">
        <v>166</v>
      </c>
      <c r="F308" s="10" t="n">
        <v>0.5</v>
      </c>
      <c r="G308" s="10" t="n">
        <v>15.2</v>
      </c>
      <c r="H308" s="10" t="n">
        <v>7.8</v>
      </c>
      <c r="I308" s="10" t="n">
        <v>0.1</v>
      </c>
    </row>
    <row r="309" customFormat="false" ht="15" hidden="false" customHeight="false" outlineLevel="0" collapsed="false">
      <c r="A309" s="3"/>
      <c r="B309" s="3"/>
      <c r="C309" s="15" t="s">
        <v>243</v>
      </c>
      <c r="D309" s="15" t="s">
        <v>410</v>
      </c>
      <c r="E309" s="16" t="n">
        <f aca="false">SUM(E302:E308)</f>
        <v>4205</v>
      </c>
      <c r="F309" s="17" t="n">
        <f aca="false">SUM(F302:F308)</f>
        <v>222.3</v>
      </c>
      <c r="G309" s="17" t="n">
        <f aca="false">SUM(G302:G308)</f>
        <v>108.4</v>
      </c>
      <c r="H309" s="17" t="n">
        <f aca="false">SUM(H302:H308)</f>
        <v>577.7</v>
      </c>
      <c r="I309" s="17" t="n">
        <f aca="false">SUM(I302:I308)</f>
        <v>47.5</v>
      </c>
    </row>
    <row r="311" customFormat="false" ht="15" hidden="false" customHeight="false" outlineLevel="0" collapsed="false">
      <c r="A311" s="8" t="n">
        <v>38</v>
      </c>
      <c r="B311" s="8" t="s">
        <v>84</v>
      </c>
      <c r="C311" s="8" t="s">
        <v>56</v>
      </c>
      <c r="D311" s="5" t="s">
        <v>78</v>
      </c>
      <c r="E311" s="9" t="n">
        <v>630</v>
      </c>
      <c r="F311" s="10" t="n">
        <v>34.2</v>
      </c>
      <c r="G311" s="10" t="n">
        <v>18.1</v>
      </c>
      <c r="H311" s="10" t="n">
        <v>80.6</v>
      </c>
      <c r="I311" s="10" t="n">
        <v>11.9</v>
      </c>
    </row>
    <row r="312" customFormat="false" ht="15" hidden="false" customHeight="false" outlineLevel="0" collapsed="false">
      <c r="A312" s="8" t="n">
        <v>38</v>
      </c>
      <c r="B312" s="8" t="s">
        <v>84</v>
      </c>
      <c r="C312" s="8" t="s">
        <v>57</v>
      </c>
      <c r="D312" s="5" t="s">
        <v>79</v>
      </c>
      <c r="E312" s="9" t="n">
        <v>419</v>
      </c>
      <c r="F312" s="10" t="n">
        <v>5.3</v>
      </c>
      <c r="G312" s="10" t="n">
        <v>1.4</v>
      </c>
      <c r="H312" s="10" t="n">
        <v>100.7</v>
      </c>
      <c r="I312" s="10" t="n">
        <v>4.7</v>
      </c>
    </row>
    <row r="313" customFormat="false" ht="15" hidden="false" customHeight="false" outlineLevel="0" collapsed="false">
      <c r="A313" s="8" t="n">
        <v>38</v>
      </c>
      <c r="B313" s="8" t="s">
        <v>84</v>
      </c>
      <c r="C313" s="8" t="s">
        <v>275</v>
      </c>
      <c r="D313" s="5" t="s">
        <v>276</v>
      </c>
      <c r="E313" s="9" t="n">
        <v>663</v>
      </c>
      <c r="F313" s="10" t="n">
        <v>40.7</v>
      </c>
      <c r="G313" s="10" t="n">
        <v>19.6</v>
      </c>
      <c r="H313" s="10" t="n">
        <v>84.4</v>
      </c>
      <c r="I313" s="10" t="n">
        <v>16.1</v>
      </c>
    </row>
    <row r="314" customFormat="false" ht="15" hidden="false" customHeight="false" outlineLevel="0" collapsed="false">
      <c r="A314" s="8" t="n">
        <v>38</v>
      </c>
      <c r="B314" s="8" t="s">
        <v>84</v>
      </c>
      <c r="C314" s="8" t="s">
        <v>59</v>
      </c>
      <c r="D314" s="5" t="s">
        <v>81</v>
      </c>
      <c r="E314" s="9" t="n">
        <v>546</v>
      </c>
      <c r="F314" s="10" t="n">
        <v>33</v>
      </c>
      <c r="G314" s="10" t="n">
        <v>6.4</v>
      </c>
      <c r="H314" s="10" t="n">
        <v>88</v>
      </c>
      <c r="I314" s="10" t="n">
        <v>9.5</v>
      </c>
    </row>
    <row r="315" customFormat="false" ht="15" hidden="false" customHeight="false" outlineLevel="0" collapsed="false">
      <c r="A315" s="8" t="n">
        <v>38</v>
      </c>
      <c r="B315" s="8" t="s">
        <v>84</v>
      </c>
      <c r="C315" s="8" t="s">
        <v>411</v>
      </c>
      <c r="D315" s="5" t="s">
        <v>412</v>
      </c>
      <c r="E315" s="9" t="n">
        <v>1144</v>
      </c>
      <c r="F315" s="10" t="n">
        <v>64.5</v>
      </c>
      <c r="G315" s="10" t="n">
        <v>31.5</v>
      </c>
      <c r="H315" s="10" t="n">
        <v>146.5</v>
      </c>
      <c r="I315" s="10" t="n">
        <v>8.5</v>
      </c>
    </row>
    <row r="316" customFormat="false" ht="15" hidden="false" customHeight="false" outlineLevel="0" collapsed="false">
      <c r="A316" s="8" t="n">
        <v>38</v>
      </c>
      <c r="B316" s="8" t="s">
        <v>84</v>
      </c>
      <c r="C316" s="8" t="s">
        <v>61</v>
      </c>
      <c r="D316" s="5" t="s">
        <v>83</v>
      </c>
      <c r="E316" s="9" t="n">
        <v>305</v>
      </c>
      <c r="F316" s="10" t="n">
        <v>27.1</v>
      </c>
      <c r="G316" s="10" t="n">
        <v>1.9</v>
      </c>
      <c r="H316" s="10" t="n">
        <v>47.5</v>
      </c>
      <c r="I316" s="10" t="n">
        <v>2.4</v>
      </c>
    </row>
    <row r="317" customFormat="false" ht="15" hidden="false" customHeight="false" outlineLevel="0" collapsed="false">
      <c r="A317" s="8" t="n">
        <v>38</v>
      </c>
      <c r="B317" s="8" t="s">
        <v>84</v>
      </c>
      <c r="C317" s="8" t="s">
        <v>62</v>
      </c>
      <c r="D317" s="5" t="s">
        <v>193</v>
      </c>
      <c r="E317" s="9" t="n">
        <v>238</v>
      </c>
      <c r="F317" s="10" t="n">
        <v>6.5</v>
      </c>
      <c r="G317" s="10" t="n">
        <v>10.2</v>
      </c>
      <c r="H317" s="10" t="n">
        <v>33.8</v>
      </c>
      <c r="I317" s="10" t="n">
        <v>4.7</v>
      </c>
    </row>
    <row r="318" customFormat="false" ht="15" hidden="false" customHeight="false" outlineLevel="0" collapsed="false">
      <c r="A318" s="3"/>
      <c r="B318" s="3"/>
      <c r="C318" s="15" t="s">
        <v>243</v>
      </c>
      <c r="D318" s="15" t="s">
        <v>413</v>
      </c>
      <c r="E318" s="16" t="n">
        <f aca="false">SUM(E311:E317)</f>
        <v>3945</v>
      </c>
      <c r="F318" s="17" t="n">
        <f aca="false">SUM(F311:F317)</f>
        <v>211.3</v>
      </c>
      <c r="G318" s="17" t="n">
        <f aca="false">SUM(G311:G317)</f>
        <v>89.1</v>
      </c>
      <c r="H318" s="17" t="n">
        <f aca="false">SUM(H311:H317)</f>
        <v>581.5</v>
      </c>
      <c r="I318" s="17" t="n">
        <f aca="false">SUM(I311:I317)</f>
        <v>57.8</v>
      </c>
    </row>
    <row r="320" customFormat="false" ht="15" hidden="false" customHeight="false" outlineLevel="0" collapsed="false">
      <c r="A320" s="8" t="n">
        <v>39</v>
      </c>
      <c r="B320" s="8" t="s">
        <v>91</v>
      </c>
      <c r="C320" s="8" t="s">
        <v>56</v>
      </c>
      <c r="D320" s="5" t="s">
        <v>85</v>
      </c>
      <c r="E320" s="9" t="n">
        <v>687</v>
      </c>
      <c r="F320" s="10" t="n">
        <v>43</v>
      </c>
      <c r="G320" s="10" t="n">
        <v>17.3</v>
      </c>
      <c r="H320" s="10" t="n">
        <v>92.7</v>
      </c>
      <c r="I320" s="10" t="n">
        <v>5.5</v>
      </c>
    </row>
    <row r="321" customFormat="false" ht="15" hidden="false" customHeight="false" outlineLevel="0" collapsed="false">
      <c r="A321" s="8" t="n">
        <v>39</v>
      </c>
      <c r="B321" s="8" t="s">
        <v>91</v>
      </c>
      <c r="C321" s="8" t="s">
        <v>57</v>
      </c>
      <c r="D321" s="5" t="s">
        <v>79</v>
      </c>
      <c r="E321" s="9" t="n">
        <v>419</v>
      </c>
      <c r="F321" s="10" t="n">
        <v>5.3</v>
      </c>
      <c r="G321" s="10" t="n">
        <v>1.4</v>
      </c>
      <c r="H321" s="10" t="n">
        <v>100.7</v>
      </c>
      <c r="I321" s="10" t="n">
        <v>4.7</v>
      </c>
    </row>
    <row r="322" customFormat="false" ht="15" hidden="false" customHeight="false" outlineLevel="0" collapsed="false">
      <c r="A322" s="8" t="n">
        <v>39</v>
      </c>
      <c r="B322" s="8" t="s">
        <v>91</v>
      </c>
      <c r="C322" s="8" t="s">
        <v>280</v>
      </c>
      <c r="D322" s="5" t="s">
        <v>281</v>
      </c>
      <c r="E322" s="9" t="n">
        <v>826</v>
      </c>
      <c r="F322" s="10" t="n">
        <v>48.1</v>
      </c>
      <c r="G322" s="10" t="n">
        <v>35.5</v>
      </c>
      <c r="H322" s="10" t="n">
        <v>73.4</v>
      </c>
      <c r="I322" s="10" t="n">
        <v>10.7</v>
      </c>
    </row>
    <row r="323" customFormat="false" ht="15" hidden="false" customHeight="false" outlineLevel="0" collapsed="false">
      <c r="A323" s="8" t="n">
        <v>39</v>
      </c>
      <c r="B323" s="8" t="s">
        <v>91</v>
      </c>
      <c r="C323" s="8" t="s">
        <v>59</v>
      </c>
      <c r="D323" s="5" t="s">
        <v>87</v>
      </c>
      <c r="E323" s="9" t="n">
        <v>484</v>
      </c>
      <c r="F323" s="10" t="n">
        <v>28.1</v>
      </c>
      <c r="G323" s="10" t="n">
        <v>5.5</v>
      </c>
      <c r="H323" s="10" t="n">
        <v>82.7</v>
      </c>
      <c r="I323" s="10" t="n">
        <v>3.5</v>
      </c>
    </row>
    <row r="324" customFormat="false" ht="15" hidden="false" customHeight="false" outlineLevel="0" collapsed="false">
      <c r="A324" s="8" t="n">
        <v>39</v>
      </c>
      <c r="B324" s="8" t="s">
        <v>91</v>
      </c>
      <c r="C324" s="8" t="s">
        <v>414</v>
      </c>
      <c r="D324" s="5" t="s">
        <v>415</v>
      </c>
      <c r="E324" s="9" t="n">
        <v>844</v>
      </c>
      <c r="F324" s="10" t="n">
        <v>52.9</v>
      </c>
      <c r="G324" s="10" t="n">
        <v>21</v>
      </c>
      <c r="H324" s="10" t="n">
        <v>116</v>
      </c>
      <c r="I324" s="10" t="n">
        <v>14.3</v>
      </c>
    </row>
    <row r="325" customFormat="false" ht="15" hidden="false" customHeight="false" outlineLevel="0" collapsed="false">
      <c r="A325" s="8" t="n">
        <v>39</v>
      </c>
      <c r="B325" s="8" t="s">
        <v>91</v>
      </c>
      <c r="C325" s="8" t="s">
        <v>61</v>
      </c>
      <c r="D325" s="5" t="s">
        <v>89</v>
      </c>
      <c r="E325" s="9" t="n">
        <v>297</v>
      </c>
      <c r="F325" s="10" t="n">
        <v>23.9</v>
      </c>
      <c r="G325" s="10" t="n">
        <v>10.2</v>
      </c>
      <c r="H325" s="10" t="n">
        <v>30.2</v>
      </c>
      <c r="I325" s="10" t="n">
        <v>1.1</v>
      </c>
    </row>
    <row r="326" customFormat="false" ht="15" hidden="false" customHeight="false" outlineLevel="0" collapsed="false">
      <c r="A326" s="8" t="n">
        <v>39</v>
      </c>
      <c r="B326" s="8" t="s">
        <v>91</v>
      </c>
      <c r="C326" s="8" t="s">
        <v>62</v>
      </c>
      <c r="D326" s="5" t="s">
        <v>195</v>
      </c>
      <c r="E326" s="9" t="n">
        <v>545</v>
      </c>
      <c r="F326" s="10" t="n">
        <v>6.7</v>
      </c>
      <c r="G326" s="10" t="n">
        <v>21.2</v>
      </c>
      <c r="H326" s="10" t="n">
        <v>82.5</v>
      </c>
      <c r="I326" s="10" t="n">
        <v>1.4</v>
      </c>
    </row>
    <row r="327" customFormat="false" ht="15" hidden="false" customHeight="false" outlineLevel="0" collapsed="false">
      <c r="A327" s="3"/>
      <c r="B327" s="3"/>
      <c r="C327" s="15" t="s">
        <v>243</v>
      </c>
      <c r="D327" s="15" t="s">
        <v>416</v>
      </c>
      <c r="E327" s="16" t="n">
        <f aca="false">SUM(E320:E326)</f>
        <v>4102</v>
      </c>
      <c r="F327" s="17" t="n">
        <f aca="false">SUM(F320:F326)</f>
        <v>208</v>
      </c>
      <c r="G327" s="17" t="n">
        <f aca="false">SUM(G320:G326)</f>
        <v>112.1</v>
      </c>
      <c r="H327" s="17" t="n">
        <f aca="false">SUM(H320:H326)</f>
        <v>578.2</v>
      </c>
      <c r="I327" s="17" t="n">
        <f aca="false">SUM(I320:I326)</f>
        <v>41.2</v>
      </c>
    </row>
    <row r="329" customFormat="false" ht="15" hidden="false" customHeight="false" outlineLevel="0" collapsed="false">
      <c r="A329" s="8" t="n">
        <v>40</v>
      </c>
      <c r="B329" s="8" t="s">
        <v>97</v>
      </c>
      <c r="C329" s="8" t="s">
        <v>56</v>
      </c>
      <c r="D329" s="5" t="s">
        <v>70</v>
      </c>
      <c r="E329" s="9" t="n">
        <v>737</v>
      </c>
      <c r="F329" s="10" t="n">
        <v>44.8</v>
      </c>
      <c r="G329" s="10" t="n">
        <v>23.9</v>
      </c>
      <c r="H329" s="10" t="n">
        <v>86.1</v>
      </c>
      <c r="I329" s="10" t="n">
        <v>14.3</v>
      </c>
    </row>
    <row r="330" customFormat="false" ht="15" hidden="false" customHeight="false" outlineLevel="0" collapsed="false">
      <c r="A330" s="8" t="n">
        <v>40</v>
      </c>
      <c r="B330" s="8" t="s">
        <v>97</v>
      </c>
      <c r="C330" s="8" t="s">
        <v>285</v>
      </c>
      <c r="D330" s="5" t="s">
        <v>286</v>
      </c>
      <c r="E330" s="9" t="n">
        <v>834</v>
      </c>
      <c r="F330" s="10" t="n">
        <v>56.9</v>
      </c>
      <c r="G330" s="10" t="n">
        <v>18.5</v>
      </c>
      <c r="H330" s="10" t="n">
        <v>106.4</v>
      </c>
      <c r="I330" s="10" t="n">
        <v>9</v>
      </c>
    </row>
    <row r="331" customFormat="false" ht="15" hidden="false" customHeight="false" outlineLevel="0" collapsed="false">
      <c r="A331" s="8" t="n">
        <v>40</v>
      </c>
      <c r="B331" s="8" t="s">
        <v>97</v>
      </c>
      <c r="C331" s="8" t="s">
        <v>417</v>
      </c>
      <c r="D331" s="5" t="s">
        <v>418</v>
      </c>
      <c r="E331" s="9" t="n">
        <v>946</v>
      </c>
      <c r="F331" s="10" t="n">
        <v>54.2</v>
      </c>
      <c r="G331" s="10" t="n">
        <v>27</v>
      </c>
      <c r="H331" s="10" t="n">
        <v>119.5</v>
      </c>
      <c r="I331" s="10" t="n">
        <v>11.6</v>
      </c>
    </row>
    <row r="332" customFormat="false" ht="15" hidden="false" customHeight="false" outlineLevel="0" collapsed="false">
      <c r="A332" s="8" t="n">
        <v>40</v>
      </c>
      <c r="B332" s="8" t="s">
        <v>97</v>
      </c>
      <c r="C332" s="8" t="s">
        <v>61</v>
      </c>
      <c r="D332" s="5" t="s">
        <v>95</v>
      </c>
      <c r="E332" s="9" t="n">
        <v>250</v>
      </c>
      <c r="F332" s="10" t="n">
        <v>21.4</v>
      </c>
      <c r="G332" s="10" t="n">
        <v>0.8</v>
      </c>
      <c r="H332" s="10" t="n">
        <v>40.2</v>
      </c>
      <c r="I332" s="10" t="n">
        <v>0.4</v>
      </c>
    </row>
    <row r="333" customFormat="false" ht="15" hidden="false" customHeight="false" outlineLevel="0" collapsed="false">
      <c r="A333" s="8" t="n">
        <v>40</v>
      </c>
      <c r="B333" s="8" t="s">
        <v>97</v>
      </c>
      <c r="C333" s="8" t="s">
        <v>62</v>
      </c>
      <c r="D333" s="5" t="s">
        <v>197</v>
      </c>
      <c r="E333" s="9" t="n">
        <v>1130</v>
      </c>
      <c r="F333" s="10" t="n">
        <v>36</v>
      </c>
      <c r="G333" s="10" t="n">
        <v>24.9</v>
      </c>
      <c r="H333" s="10" t="n">
        <v>185.7</v>
      </c>
      <c r="I333" s="10" t="n">
        <v>27.8</v>
      </c>
    </row>
    <row r="334" customFormat="false" ht="15" hidden="false" customHeight="false" outlineLevel="0" collapsed="false">
      <c r="A334" s="3"/>
      <c r="B334" s="3"/>
      <c r="C334" s="15" t="s">
        <v>243</v>
      </c>
      <c r="D334" s="15" t="s">
        <v>419</v>
      </c>
      <c r="E334" s="16" t="n">
        <f aca="false">SUM(E329:E333)</f>
        <v>3897</v>
      </c>
      <c r="F334" s="17" t="n">
        <f aca="false">SUM(F329:F333)</f>
        <v>213.3</v>
      </c>
      <c r="G334" s="17" t="n">
        <f aca="false">SUM(G329:G333)</f>
        <v>95.1</v>
      </c>
      <c r="H334" s="17" t="n">
        <f aca="false">SUM(H329:H333)</f>
        <v>537.9</v>
      </c>
      <c r="I334" s="17" t="n">
        <f aca="false">SUM(I329:I333)</f>
        <v>63.1</v>
      </c>
    </row>
    <row r="336" customFormat="false" ht="15" hidden="false" customHeight="false" outlineLevel="0" collapsed="false">
      <c r="A336" s="8" t="n">
        <v>41</v>
      </c>
      <c r="B336" s="8" t="s">
        <v>102</v>
      </c>
      <c r="C336" s="8" t="s">
        <v>56</v>
      </c>
      <c r="D336" s="5" t="s">
        <v>78</v>
      </c>
      <c r="E336" s="9" t="n">
        <v>630</v>
      </c>
      <c r="F336" s="10" t="n">
        <v>34.2</v>
      </c>
      <c r="G336" s="10" t="n">
        <v>18.1</v>
      </c>
      <c r="H336" s="10" t="n">
        <v>80.6</v>
      </c>
      <c r="I336" s="10" t="n">
        <v>11.9</v>
      </c>
    </row>
    <row r="337" customFormat="false" ht="15" hidden="false" customHeight="false" outlineLevel="0" collapsed="false">
      <c r="A337" s="8" t="n">
        <v>41</v>
      </c>
      <c r="B337" s="8" t="s">
        <v>102</v>
      </c>
      <c r="C337" s="8" t="s">
        <v>57</v>
      </c>
      <c r="D337" s="5" t="s">
        <v>79</v>
      </c>
      <c r="E337" s="9" t="n">
        <v>419</v>
      </c>
      <c r="F337" s="10" t="n">
        <v>5.3</v>
      </c>
      <c r="G337" s="10" t="n">
        <v>1.4</v>
      </c>
      <c r="H337" s="10" t="n">
        <v>100.7</v>
      </c>
      <c r="I337" s="10" t="n">
        <v>4.7</v>
      </c>
    </row>
    <row r="338" customFormat="false" ht="15" hidden="false" customHeight="false" outlineLevel="0" collapsed="false">
      <c r="A338" s="8" t="n">
        <v>41</v>
      </c>
      <c r="B338" s="8" t="s">
        <v>102</v>
      </c>
      <c r="C338" s="8" t="s">
        <v>290</v>
      </c>
      <c r="D338" s="5" t="s">
        <v>291</v>
      </c>
      <c r="E338" s="9" t="n">
        <v>785</v>
      </c>
      <c r="F338" s="10" t="n">
        <v>39</v>
      </c>
      <c r="G338" s="10" t="n">
        <v>17.8</v>
      </c>
      <c r="H338" s="10" t="n">
        <v>117.9</v>
      </c>
      <c r="I338" s="10" t="n">
        <v>14.9</v>
      </c>
    </row>
    <row r="339" customFormat="false" ht="15" hidden="false" customHeight="false" outlineLevel="0" collapsed="false">
      <c r="A339" s="8" t="n">
        <v>41</v>
      </c>
      <c r="B339" s="8" t="s">
        <v>102</v>
      </c>
      <c r="C339" s="8" t="s">
        <v>59</v>
      </c>
      <c r="D339" s="5" t="s">
        <v>81</v>
      </c>
      <c r="E339" s="9" t="n">
        <v>546</v>
      </c>
      <c r="F339" s="10" t="n">
        <v>33</v>
      </c>
      <c r="G339" s="10" t="n">
        <v>6.4</v>
      </c>
      <c r="H339" s="10" t="n">
        <v>88</v>
      </c>
      <c r="I339" s="10" t="n">
        <v>9.5</v>
      </c>
    </row>
    <row r="340" customFormat="false" ht="15" hidden="false" customHeight="false" outlineLevel="0" collapsed="false">
      <c r="A340" s="8" t="n">
        <v>41</v>
      </c>
      <c r="B340" s="8" t="s">
        <v>102</v>
      </c>
      <c r="C340" s="8" t="s">
        <v>420</v>
      </c>
      <c r="D340" s="5" t="s">
        <v>421</v>
      </c>
      <c r="E340" s="9" t="n">
        <v>992</v>
      </c>
      <c r="F340" s="10" t="n">
        <v>56.1</v>
      </c>
      <c r="G340" s="10" t="n">
        <v>30</v>
      </c>
      <c r="H340" s="10" t="n">
        <v>122.2</v>
      </c>
      <c r="I340" s="10" t="n">
        <v>18.2</v>
      </c>
    </row>
    <row r="341" customFormat="false" ht="15" hidden="false" customHeight="false" outlineLevel="0" collapsed="false">
      <c r="A341" s="8" t="n">
        <v>41</v>
      </c>
      <c r="B341" s="8" t="s">
        <v>102</v>
      </c>
      <c r="C341" s="8" t="s">
        <v>61</v>
      </c>
      <c r="D341" s="5" t="s">
        <v>100</v>
      </c>
      <c r="E341" s="9" t="n">
        <v>439</v>
      </c>
      <c r="F341" s="10" t="n">
        <v>16.3</v>
      </c>
      <c r="G341" s="10" t="n">
        <v>16.4</v>
      </c>
      <c r="H341" s="10" t="n">
        <v>58.1</v>
      </c>
      <c r="I341" s="10" t="n">
        <v>3.2</v>
      </c>
    </row>
    <row r="342" customFormat="false" ht="15" hidden="false" customHeight="false" outlineLevel="0" collapsed="false">
      <c r="A342" s="8" t="n">
        <v>41</v>
      </c>
      <c r="B342" s="8" t="s">
        <v>102</v>
      </c>
      <c r="C342" s="8" t="s">
        <v>62</v>
      </c>
      <c r="D342" s="5" t="s">
        <v>199</v>
      </c>
      <c r="E342" s="9" t="n">
        <v>249</v>
      </c>
      <c r="F342" s="10" t="n">
        <v>1.1</v>
      </c>
      <c r="G342" s="10" t="n">
        <v>20.3</v>
      </c>
      <c r="H342" s="10" t="n">
        <v>16.6</v>
      </c>
      <c r="I342" s="10" t="n">
        <v>0.3</v>
      </c>
    </row>
    <row r="343" customFormat="false" ht="15" hidden="false" customHeight="false" outlineLevel="0" collapsed="false">
      <c r="A343" s="3"/>
      <c r="B343" s="3"/>
      <c r="C343" s="15" t="s">
        <v>243</v>
      </c>
      <c r="D343" s="15" t="s">
        <v>422</v>
      </c>
      <c r="E343" s="16" t="n">
        <f aca="false">SUM(E336:E342)</f>
        <v>4060</v>
      </c>
      <c r="F343" s="17" t="n">
        <f aca="false">SUM(F336:F342)</f>
        <v>185</v>
      </c>
      <c r="G343" s="17" t="n">
        <f aca="false">SUM(G336:G342)</f>
        <v>110.4</v>
      </c>
      <c r="H343" s="17" t="n">
        <f aca="false">SUM(H336:H342)</f>
        <v>584.1</v>
      </c>
      <c r="I343" s="17" t="n">
        <f aca="false">SUM(I336:I342)</f>
        <v>62.7</v>
      </c>
    </row>
    <row r="345" customFormat="false" ht="15" hidden="false" customHeight="false" outlineLevel="0" collapsed="false">
      <c r="A345" s="8" t="n">
        <v>42</v>
      </c>
      <c r="B345" s="8" t="s">
        <v>107</v>
      </c>
      <c r="C345" s="8" t="s">
        <v>56</v>
      </c>
      <c r="D345" s="5" t="s">
        <v>85</v>
      </c>
      <c r="E345" s="9" t="n">
        <v>687</v>
      </c>
      <c r="F345" s="10" t="n">
        <v>43</v>
      </c>
      <c r="G345" s="10" t="n">
        <v>17.3</v>
      </c>
      <c r="H345" s="10" t="n">
        <v>92.7</v>
      </c>
      <c r="I345" s="10" t="n">
        <v>5.5</v>
      </c>
    </row>
    <row r="346" customFormat="false" ht="15" hidden="false" customHeight="false" outlineLevel="0" collapsed="false">
      <c r="A346" s="8" t="n">
        <v>42</v>
      </c>
      <c r="B346" s="8" t="s">
        <v>107</v>
      </c>
      <c r="C346" s="8" t="s">
        <v>57</v>
      </c>
      <c r="D346" s="5" t="s">
        <v>79</v>
      </c>
      <c r="E346" s="9" t="n">
        <v>419</v>
      </c>
      <c r="F346" s="10" t="n">
        <v>5.3</v>
      </c>
      <c r="G346" s="10" t="n">
        <v>1.4</v>
      </c>
      <c r="H346" s="10" t="n">
        <v>100.7</v>
      </c>
      <c r="I346" s="10" t="n">
        <v>4.7</v>
      </c>
    </row>
    <row r="347" customFormat="false" ht="15" hidden="false" customHeight="false" outlineLevel="0" collapsed="false">
      <c r="A347" s="8" t="n">
        <v>42</v>
      </c>
      <c r="B347" s="8" t="s">
        <v>107</v>
      </c>
      <c r="C347" s="8" t="s">
        <v>295</v>
      </c>
      <c r="D347" s="5" t="s">
        <v>296</v>
      </c>
      <c r="E347" s="9" t="n">
        <v>794</v>
      </c>
      <c r="F347" s="10" t="n">
        <v>59.8</v>
      </c>
      <c r="G347" s="10" t="n">
        <v>14.5</v>
      </c>
      <c r="H347" s="10" t="n">
        <v>94.7</v>
      </c>
      <c r="I347" s="10" t="n">
        <v>17.2</v>
      </c>
    </row>
    <row r="348" customFormat="false" ht="15" hidden="false" customHeight="false" outlineLevel="0" collapsed="false">
      <c r="A348" s="8" t="n">
        <v>42</v>
      </c>
      <c r="B348" s="8" t="s">
        <v>107</v>
      </c>
      <c r="C348" s="8" t="s">
        <v>59</v>
      </c>
      <c r="D348" s="5" t="s">
        <v>87</v>
      </c>
      <c r="E348" s="9" t="n">
        <v>484</v>
      </c>
      <c r="F348" s="10" t="n">
        <v>28.1</v>
      </c>
      <c r="G348" s="10" t="n">
        <v>5.5</v>
      </c>
      <c r="H348" s="10" t="n">
        <v>82.7</v>
      </c>
      <c r="I348" s="10" t="n">
        <v>3.5</v>
      </c>
    </row>
    <row r="349" customFormat="false" ht="15" hidden="false" customHeight="false" outlineLevel="0" collapsed="false">
      <c r="A349" s="8" t="n">
        <v>42</v>
      </c>
      <c r="B349" s="8" t="s">
        <v>107</v>
      </c>
      <c r="C349" s="8" t="s">
        <v>423</v>
      </c>
      <c r="D349" s="5" t="s">
        <v>424</v>
      </c>
      <c r="E349" s="9" t="n">
        <v>984</v>
      </c>
      <c r="F349" s="10" t="n">
        <v>61.8</v>
      </c>
      <c r="G349" s="10" t="n">
        <v>24.3</v>
      </c>
      <c r="H349" s="10" t="n">
        <v>129.2</v>
      </c>
      <c r="I349" s="10" t="n">
        <v>10.4</v>
      </c>
    </row>
    <row r="350" customFormat="false" ht="15" hidden="false" customHeight="false" outlineLevel="0" collapsed="false">
      <c r="A350" s="8" t="n">
        <v>42</v>
      </c>
      <c r="B350" s="8" t="s">
        <v>107</v>
      </c>
      <c r="C350" s="8" t="s">
        <v>61</v>
      </c>
      <c r="D350" s="5" t="s">
        <v>105</v>
      </c>
      <c r="E350" s="9" t="n">
        <v>279</v>
      </c>
      <c r="F350" s="10" t="n">
        <v>25.6</v>
      </c>
      <c r="G350" s="10" t="n">
        <v>2</v>
      </c>
      <c r="H350" s="10" t="n">
        <v>42.2</v>
      </c>
      <c r="I350" s="10" t="n">
        <v>2.7</v>
      </c>
    </row>
    <row r="351" customFormat="false" ht="15" hidden="false" customHeight="false" outlineLevel="0" collapsed="false">
      <c r="A351" s="8" t="n">
        <v>42</v>
      </c>
      <c r="B351" s="8" t="s">
        <v>107</v>
      </c>
      <c r="C351" s="8" t="s">
        <v>62</v>
      </c>
      <c r="D351" s="5" t="s">
        <v>201</v>
      </c>
      <c r="E351" s="9" t="n">
        <v>280</v>
      </c>
      <c r="F351" s="10" t="n">
        <v>7.9</v>
      </c>
      <c r="G351" s="10" t="n">
        <v>12.7</v>
      </c>
      <c r="H351" s="10" t="n">
        <v>38</v>
      </c>
      <c r="I351" s="10" t="n">
        <v>5.4</v>
      </c>
    </row>
    <row r="352" customFormat="false" ht="15" hidden="false" customHeight="false" outlineLevel="0" collapsed="false">
      <c r="A352" s="3"/>
      <c r="B352" s="3"/>
      <c r="C352" s="15" t="s">
        <v>243</v>
      </c>
      <c r="D352" s="15" t="s">
        <v>425</v>
      </c>
      <c r="E352" s="16" t="n">
        <f aca="false">SUM(E345:E351)</f>
        <v>3927</v>
      </c>
      <c r="F352" s="17" t="n">
        <f aca="false">SUM(F345:F351)</f>
        <v>231.5</v>
      </c>
      <c r="G352" s="17" t="n">
        <f aca="false">SUM(G345:G351)</f>
        <v>77.7</v>
      </c>
      <c r="H352" s="17" t="n">
        <f aca="false">SUM(H345:H351)</f>
        <v>580.2</v>
      </c>
      <c r="I352" s="17" t="n">
        <f aca="false">SUM(I345:I351)</f>
        <v>49.4</v>
      </c>
    </row>
    <row r="354" customFormat="false" ht="15" hidden="false" customHeight="false" outlineLevel="0" collapsed="false">
      <c r="A354" s="8" t="n">
        <v>43</v>
      </c>
      <c r="B354" s="8" t="s">
        <v>68</v>
      </c>
      <c r="C354" s="8" t="s">
        <v>56</v>
      </c>
      <c r="D354" s="5" t="s">
        <v>70</v>
      </c>
      <c r="E354" s="9" t="n">
        <v>737</v>
      </c>
      <c r="F354" s="10" t="n">
        <v>44.8</v>
      </c>
      <c r="G354" s="10" t="n">
        <v>23.9</v>
      </c>
      <c r="H354" s="10" t="n">
        <v>86.1</v>
      </c>
      <c r="I354" s="10" t="n">
        <v>14.3</v>
      </c>
    </row>
    <row r="355" customFormat="false" ht="15" hidden="false" customHeight="false" outlineLevel="0" collapsed="false">
      <c r="A355" s="8" t="n">
        <v>43</v>
      </c>
      <c r="B355" s="8" t="s">
        <v>68</v>
      </c>
      <c r="C355" s="8" t="s">
        <v>300</v>
      </c>
      <c r="D355" s="5" t="s">
        <v>301</v>
      </c>
      <c r="E355" s="9" t="n">
        <v>913</v>
      </c>
      <c r="F355" s="10" t="n">
        <v>34.7</v>
      </c>
      <c r="G355" s="10" t="n">
        <v>30</v>
      </c>
      <c r="H355" s="10" t="n">
        <v>127.4</v>
      </c>
      <c r="I355" s="10" t="n">
        <v>20</v>
      </c>
    </row>
    <row r="356" customFormat="false" ht="15" hidden="false" customHeight="false" outlineLevel="0" collapsed="false">
      <c r="A356" s="8" t="n">
        <v>43</v>
      </c>
      <c r="B356" s="8" t="s">
        <v>68</v>
      </c>
      <c r="C356" s="8" t="s">
        <v>426</v>
      </c>
      <c r="D356" s="5" t="s">
        <v>427</v>
      </c>
      <c r="E356" s="9" t="n">
        <v>1028</v>
      </c>
      <c r="F356" s="10" t="n">
        <v>65.1</v>
      </c>
      <c r="G356" s="10" t="n">
        <v>22.4</v>
      </c>
      <c r="H356" s="10" t="n">
        <v>144.4</v>
      </c>
      <c r="I356" s="10" t="n">
        <v>22.2</v>
      </c>
    </row>
    <row r="357" customFormat="false" ht="15" hidden="false" customHeight="false" outlineLevel="0" collapsed="false">
      <c r="A357" s="8" t="n">
        <v>43</v>
      </c>
      <c r="B357" s="8" t="s">
        <v>68</v>
      </c>
      <c r="C357" s="8" t="s">
        <v>61</v>
      </c>
      <c r="D357" s="5" t="s">
        <v>74</v>
      </c>
      <c r="E357" s="9" t="n">
        <v>334</v>
      </c>
      <c r="F357" s="10" t="n">
        <v>26.1</v>
      </c>
      <c r="G357" s="10" t="n">
        <v>2.2</v>
      </c>
      <c r="H357" s="10" t="n">
        <v>55.6</v>
      </c>
      <c r="I357" s="10" t="n">
        <v>2.6</v>
      </c>
    </row>
    <row r="358" customFormat="false" ht="15" hidden="false" customHeight="false" outlineLevel="0" collapsed="false">
      <c r="A358" s="8" t="n">
        <v>43</v>
      </c>
      <c r="B358" s="8" t="s">
        <v>68</v>
      </c>
      <c r="C358" s="8" t="s">
        <v>62</v>
      </c>
      <c r="D358" s="5" t="s">
        <v>203</v>
      </c>
      <c r="E358" s="9" t="n">
        <v>1037</v>
      </c>
      <c r="F358" s="10" t="n">
        <v>15.1</v>
      </c>
      <c r="G358" s="10" t="n">
        <v>32.2</v>
      </c>
      <c r="H358" s="10" t="n">
        <v>169.9</v>
      </c>
      <c r="I358" s="10" t="n">
        <v>2.6</v>
      </c>
    </row>
    <row r="359" customFormat="false" ht="15" hidden="false" customHeight="false" outlineLevel="0" collapsed="false">
      <c r="A359" s="3"/>
      <c r="B359" s="3"/>
      <c r="C359" s="15" t="s">
        <v>243</v>
      </c>
      <c r="D359" s="15" t="s">
        <v>428</v>
      </c>
      <c r="E359" s="16" t="n">
        <f aca="false">SUM(E354:E358)</f>
        <v>4049</v>
      </c>
      <c r="F359" s="17" t="n">
        <f aca="false">SUM(F354:F358)</f>
        <v>185.8</v>
      </c>
      <c r="G359" s="17" t="n">
        <f aca="false">SUM(G354:G358)</f>
        <v>110.7</v>
      </c>
      <c r="H359" s="17" t="n">
        <f aca="false">SUM(H354:H358)</f>
        <v>583.4</v>
      </c>
      <c r="I359" s="17" t="n">
        <f aca="false">SUM(I354:I358)</f>
        <v>61.7</v>
      </c>
    </row>
    <row r="361" customFormat="false" ht="15" hidden="false" customHeight="false" outlineLevel="0" collapsed="false">
      <c r="A361" s="8" t="n">
        <v>44</v>
      </c>
      <c r="B361" s="8" t="s">
        <v>76</v>
      </c>
      <c r="C361" s="8" t="s">
        <v>56</v>
      </c>
      <c r="D361" s="5" t="s">
        <v>78</v>
      </c>
      <c r="E361" s="9" t="n">
        <v>630</v>
      </c>
      <c r="F361" s="10" t="n">
        <v>34.2</v>
      </c>
      <c r="G361" s="10" t="n">
        <v>18.1</v>
      </c>
      <c r="H361" s="10" t="n">
        <v>80.6</v>
      </c>
      <c r="I361" s="10" t="n">
        <v>11.9</v>
      </c>
    </row>
    <row r="362" customFormat="false" ht="15" hidden="false" customHeight="false" outlineLevel="0" collapsed="false">
      <c r="A362" s="8" t="n">
        <v>44</v>
      </c>
      <c r="B362" s="8" t="s">
        <v>76</v>
      </c>
      <c r="C362" s="8" t="s">
        <v>57</v>
      </c>
      <c r="D362" s="5" t="s">
        <v>79</v>
      </c>
      <c r="E362" s="9" t="n">
        <v>419</v>
      </c>
      <c r="F362" s="10" t="n">
        <v>5.3</v>
      </c>
      <c r="G362" s="10" t="n">
        <v>1.4</v>
      </c>
      <c r="H362" s="10" t="n">
        <v>100.7</v>
      </c>
      <c r="I362" s="10" t="n">
        <v>4.7</v>
      </c>
    </row>
    <row r="363" customFormat="false" ht="15" hidden="false" customHeight="false" outlineLevel="0" collapsed="false">
      <c r="A363" s="8" t="n">
        <v>44</v>
      </c>
      <c r="B363" s="8" t="s">
        <v>76</v>
      </c>
      <c r="C363" s="8" t="s">
        <v>305</v>
      </c>
      <c r="D363" s="5" t="s">
        <v>306</v>
      </c>
      <c r="E363" s="9" t="n">
        <v>795</v>
      </c>
      <c r="F363" s="10" t="n">
        <v>44.4</v>
      </c>
      <c r="G363" s="10" t="n">
        <v>28</v>
      </c>
      <c r="H363" s="10" t="n">
        <v>89.8</v>
      </c>
      <c r="I363" s="10" t="n">
        <v>12.1</v>
      </c>
    </row>
    <row r="364" customFormat="false" ht="15" hidden="false" customHeight="false" outlineLevel="0" collapsed="false">
      <c r="A364" s="8" t="n">
        <v>44</v>
      </c>
      <c r="B364" s="8" t="s">
        <v>76</v>
      </c>
      <c r="C364" s="8" t="s">
        <v>59</v>
      </c>
      <c r="D364" s="5" t="s">
        <v>81</v>
      </c>
      <c r="E364" s="9" t="n">
        <v>546</v>
      </c>
      <c r="F364" s="10" t="n">
        <v>33</v>
      </c>
      <c r="G364" s="10" t="n">
        <v>6.4</v>
      </c>
      <c r="H364" s="10" t="n">
        <v>88</v>
      </c>
      <c r="I364" s="10" t="n">
        <v>9.5</v>
      </c>
    </row>
    <row r="365" customFormat="false" ht="15" hidden="false" customHeight="false" outlineLevel="0" collapsed="false">
      <c r="A365" s="8" t="n">
        <v>44</v>
      </c>
      <c r="B365" s="8" t="s">
        <v>76</v>
      </c>
      <c r="C365" s="8" t="s">
        <v>429</v>
      </c>
      <c r="D365" s="5" t="s">
        <v>430</v>
      </c>
      <c r="E365" s="9" t="n">
        <v>977</v>
      </c>
      <c r="F365" s="10" t="n">
        <v>56.4</v>
      </c>
      <c r="G365" s="10" t="n">
        <v>24.9</v>
      </c>
      <c r="H365" s="10" t="n">
        <v>138</v>
      </c>
      <c r="I365" s="10" t="n">
        <v>18.2</v>
      </c>
    </row>
    <row r="366" customFormat="false" ht="15" hidden="false" customHeight="false" outlineLevel="0" collapsed="false">
      <c r="A366" s="8" t="n">
        <v>44</v>
      </c>
      <c r="B366" s="8" t="s">
        <v>76</v>
      </c>
      <c r="C366" s="8" t="s">
        <v>61</v>
      </c>
      <c r="D366" s="5" t="s">
        <v>83</v>
      </c>
      <c r="E366" s="9" t="n">
        <v>305</v>
      </c>
      <c r="F366" s="10" t="n">
        <v>27.1</v>
      </c>
      <c r="G366" s="10" t="n">
        <v>1.9</v>
      </c>
      <c r="H366" s="10" t="n">
        <v>47.5</v>
      </c>
      <c r="I366" s="10" t="n">
        <v>2.4</v>
      </c>
    </row>
    <row r="367" customFormat="false" ht="15" hidden="false" customHeight="false" outlineLevel="0" collapsed="false">
      <c r="A367" s="8" t="n">
        <v>44</v>
      </c>
      <c r="B367" s="8" t="s">
        <v>76</v>
      </c>
      <c r="C367" s="8" t="s">
        <v>62</v>
      </c>
      <c r="D367" s="5" t="s">
        <v>205</v>
      </c>
      <c r="E367" s="9" t="n">
        <v>251</v>
      </c>
      <c r="F367" s="10" t="n">
        <v>6.7</v>
      </c>
      <c r="G367" s="10" t="n">
        <v>10.2</v>
      </c>
      <c r="H367" s="10" t="n">
        <v>37.2</v>
      </c>
      <c r="I367" s="10" t="n">
        <v>5.1</v>
      </c>
    </row>
    <row r="368" customFormat="false" ht="15" hidden="false" customHeight="false" outlineLevel="0" collapsed="false">
      <c r="A368" s="3"/>
      <c r="B368" s="3"/>
      <c r="C368" s="15" t="s">
        <v>243</v>
      </c>
      <c r="D368" s="15" t="s">
        <v>431</v>
      </c>
      <c r="E368" s="16" t="n">
        <f aca="false">SUM(E361:E367)</f>
        <v>3923</v>
      </c>
      <c r="F368" s="17" t="n">
        <f aca="false">SUM(F361:F367)</f>
        <v>207.1</v>
      </c>
      <c r="G368" s="17" t="n">
        <f aca="false">SUM(G361:G367)</f>
        <v>90.9</v>
      </c>
      <c r="H368" s="17" t="n">
        <f aca="false">SUM(H361:H367)</f>
        <v>581.8</v>
      </c>
      <c r="I368" s="17" t="n">
        <f aca="false">SUM(I361:I367)</f>
        <v>63.9</v>
      </c>
    </row>
    <row r="370" customFormat="false" ht="15" hidden="false" customHeight="false" outlineLevel="0" collapsed="false">
      <c r="A370" s="8" t="n">
        <v>45</v>
      </c>
      <c r="B370" s="8" t="s">
        <v>84</v>
      </c>
      <c r="C370" s="8" t="s">
        <v>56</v>
      </c>
      <c r="D370" s="5" t="s">
        <v>85</v>
      </c>
      <c r="E370" s="9" t="n">
        <v>687</v>
      </c>
      <c r="F370" s="10" t="n">
        <v>43</v>
      </c>
      <c r="G370" s="10" t="n">
        <v>17.3</v>
      </c>
      <c r="H370" s="10" t="n">
        <v>92.7</v>
      </c>
      <c r="I370" s="10" t="n">
        <v>5.5</v>
      </c>
    </row>
    <row r="371" customFormat="false" ht="15" hidden="false" customHeight="false" outlineLevel="0" collapsed="false">
      <c r="A371" s="8" t="n">
        <v>45</v>
      </c>
      <c r="B371" s="8" t="s">
        <v>84</v>
      </c>
      <c r="C371" s="8" t="s">
        <v>57</v>
      </c>
      <c r="D371" s="5" t="s">
        <v>79</v>
      </c>
      <c r="E371" s="9" t="n">
        <v>419</v>
      </c>
      <c r="F371" s="10" t="n">
        <v>5.3</v>
      </c>
      <c r="G371" s="10" t="n">
        <v>1.4</v>
      </c>
      <c r="H371" s="10" t="n">
        <v>100.7</v>
      </c>
      <c r="I371" s="10" t="n">
        <v>4.7</v>
      </c>
    </row>
    <row r="372" customFormat="false" ht="15" hidden="false" customHeight="false" outlineLevel="0" collapsed="false">
      <c r="A372" s="8" t="n">
        <v>45</v>
      </c>
      <c r="B372" s="8" t="s">
        <v>84</v>
      </c>
      <c r="C372" s="8" t="s">
        <v>310</v>
      </c>
      <c r="D372" s="5" t="s">
        <v>311</v>
      </c>
      <c r="E372" s="9" t="n">
        <v>783</v>
      </c>
      <c r="F372" s="10" t="n">
        <v>31.2</v>
      </c>
      <c r="G372" s="10" t="n">
        <v>24.2</v>
      </c>
      <c r="H372" s="10" t="n">
        <v>114.3</v>
      </c>
      <c r="I372" s="10" t="n">
        <v>17.9</v>
      </c>
    </row>
    <row r="373" customFormat="false" ht="15" hidden="false" customHeight="false" outlineLevel="0" collapsed="false">
      <c r="A373" s="8" t="n">
        <v>45</v>
      </c>
      <c r="B373" s="8" t="s">
        <v>84</v>
      </c>
      <c r="C373" s="8" t="s">
        <v>59</v>
      </c>
      <c r="D373" s="5" t="s">
        <v>87</v>
      </c>
      <c r="E373" s="9" t="n">
        <v>484</v>
      </c>
      <c r="F373" s="10" t="n">
        <v>28.1</v>
      </c>
      <c r="G373" s="10" t="n">
        <v>5.5</v>
      </c>
      <c r="H373" s="10" t="n">
        <v>82.7</v>
      </c>
      <c r="I373" s="10" t="n">
        <v>3.5</v>
      </c>
    </row>
    <row r="374" customFormat="false" ht="15" hidden="false" customHeight="false" outlineLevel="0" collapsed="false">
      <c r="A374" s="8" t="n">
        <v>45</v>
      </c>
      <c r="B374" s="8" t="s">
        <v>84</v>
      </c>
      <c r="C374" s="8" t="s">
        <v>432</v>
      </c>
      <c r="D374" s="5" t="s">
        <v>433</v>
      </c>
      <c r="E374" s="9" t="n">
        <v>1210</v>
      </c>
      <c r="F374" s="10" t="n">
        <v>73</v>
      </c>
      <c r="G374" s="10" t="n">
        <v>26</v>
      </c>
      <c r="H374" s="10" t="n">
        <v>173.8</v>
      </c>
      <c r="I374" s="10" t="n">
        <v>17.6</v>
      </c>
    </row>
    <row r="375" customFormat="false" ht="15" hidden="false" customHeight="false" outlineLevel="0" collapsed="false">
      <c r="A375" s="8" t="n">
        <v>45</v>
      </c>
      <c r="B375" s="8" t="s">
        <v>84</v>
      </c>
      <c r="C375" s="8" t="s">
        <v>61</v>
      </c>
      <c r="D375" s="5" t="s">
        <v>89</v>
      </c>
      <c r="E375" s="9" t="n">
        <v>297</v>
      </c>
      <c r="F375" s="10" t="n">
        <v>23.9</v>
      </c>
      <c r="G375" s="10" t="n">
        <v>10.2</v>
      </c>
      <c r="H375" s="10" t="n">
        <v>30.2</v>
      </c>
      <c r="I375" s="10" t="n">
        <v>1.1</v>
      </c>
    </row>
    <row r="376" customFormat="false" ht="15" hidden="false" customHeight="false" outlineLevel="0" collapsed="false">
      <c r="A376" s="8" t="n">
        <v>45</v>
      </c>
      <c r="B376" s="8" t="s">
        <v>84</v>
      </c>
      <c r="C376" s="8" t="s">
        <v>62</v>
      </c>
      <c r="D376" s="5" t="s">
        <v>179</v>
      </c>
      <c r="E376" s="9" t="n">
        <v>221</v>
      </c>
      <c r="F376" s="10" t="n">
        <v>0</v>
      </c>
      <c r="G376" s="10" t="n">
        <v>25</v>
      </c>
      <c r="H376" s="10" t="n">
        <v>0</v>
      </c>
      <c r="I376" s="10" t="n">
        <v>0</v>
      </c>
    </row>
    <row r="377" customFormat="false" ht="15" hidden="false" customHeight="false" outlineLevel="0" collapsed="false">
      <c r="A377" s="3"/>
      <c r="B377" s="3"/>
      <c r="C377" s="15" t="s">
        <v>243</v>
      </c>
      <c r="D377" s="15" t="s">
        <v>434</v>
      </c>
      <c r="E377" s="16" t="n">
        <f aca="false">SUM(E370:E376)</f>
        <v>4101</v>
      </c>
      <c r="F377" s="17" t="n">
        <f aca="false">SUM(F370:F376)</f>
        <v>204.5</v>
      </c>
      <c r="G377" s="17" t="n">
        <f aca="false">SUM(G370:G376)</f>
        <v>109.6</v>
      </c>
      <c r="H377" s="17" t="n">
        <f aca="false">SUM(H370:H376)</f>
        <v>594.4</v>
      </c>
      <c r="I377" s="17" t="n">
        <f aca="false">SUM(I370:I376)</f>
        <v>50.3</v>
      </c>
    </row>
    <row r="379" customFormat="false" ht="15" hidden="false" customHeight="false" outlineLevel="0" collapsed="false">
      <c r="A379" s="8" t="n">
        <v>46</v>
      </c>
      <c r="B379" s="8" t="s">
        <v>91</v>
      </c>
      <c r="C379" s="8" t="s">
        <v>56</v>
      </c>
      <c r="D379" s="5" t="s">
        <v>70</v>
      </c>
      <c r="E379" s="9" t="n">
        <v>737</v>
      </c>
      <c r="F379" s="10" t="n">
        <v>44.8</v>
      </c>
      <c r="G379" s="10" t="n">
        <v>23.9</v>
      </c>
      <c r="H379" s="10" t="n">
        <v>86.1</v>
      </c>
      <c r="I379" s="10" t="n">
        <v>14.3</v>
      </c>
    </row>
    <row r="380" customFormat="false" ht="15" hidden="false" customHeight="false" outlineLevel="0" collapsed="false">
      <c r="A380" s="8" t="n">
        <v>46</v>
      </c>
      <c r="B380" s="8" t="s">
        <v>91</v>
      </c>
      <c r="C380" s="8" t="s">
        <v>57</v>
      </c>
      <c r="D380" s="5" t="s">
        <v>79</v>
      </c>
      <c r="E380" s="9" t="n">
        <v>419</v>
      </c>
      <c r="F380" s="10" t="n">
        <v>5.3</v>
      </c>
      <c r="G380" s="10" t="n">
        <v>1.4</v>
      </c>
      <c r="H380" s="10" t="n">
        <v>100.7</v>
      </c>
      <c r="I380" s="10" t="n">
        <v>4.7</v>
      </c>
    </row>
    <row r="381" customFormat="false" ht="15" hidden="false" customHeight="false" outlineLevel="0" collapsed="false">
      <c r="A381" s="8" t="n">
        <v>46</v>
      </c>
      <c r="B381" s="8" t="s">
        <v>91</v>
      </c>
      <c r="C381" s="8" t="s">
        <v>315</v>
      </c>
      <c r="D381" s="5" t="s">
        <v>316</v>
      </c>
      <c r="E381" s="9" t="n">
        <v>726</v>
      </c>
      <c r="F381" s="10" t="n">
        <v>42.2</v>
      </c>
      <c r="G381" s="10" t="n">
        <v>19.3</v>
      </c>
      <c r="H381" s="10" t="n">
        <v>99</v>
      </c>
      <c r="I381" s="10" t="n">
        <v>12</v>
      </c>
    </row>
    <row r="382" customFormat="false" ht="15" hidden="false" customHeight="false" outlineLevel="0" collapsed="false">
      <c r="A382" s="8" t="n">
        <v>46</v>
      </c>
      <c r="B382" s="8" t="s">
        <v>91</v>
      </c>
      <c r="C382" s="8" t="s">
        <v>59</v>
      </c>
      <c r="D382" s="5" t="s">
        <v>93</v>
      </c>
      <c r="E382" s="9" t="n">
        <v>603</v>
      </c>
      <c r="F382" s="10" t="n">
        <v>34.2</v>
      </c>
      <c r="G382" s="10" t="n">
        <v>1.4</v>
      </c>
      <c r="H382" s="10" t="n">
        <v>112.3</v>
      </c>
      <c r="I382" s="10" t="n">
        <v>1.3</v>
      </c>
    </row>
    <row r="383" customFormat="false" ht="15" hidden="false" customHeight="false" outlineLevel="0" collapsed="false">
      <c r="A383" s="8" t="n">
        <v>46</v>
      </c>
      <c r="B383" s="8" t="s">
        <v>91</v>
      </c>
      <c r="C383" s="8" t="s">
        <v>435</v>
      </c>
      <c r="D383" s="5" t="s">
        <v>436</v>
      </c>
      <c r="E383" s="9" t="n">
        <v>1079</v>
      </c>
      <c r="F383" s="10" t="n">
        <v>65.5</v>
      </c>
      <c r="G383" s="10" t="n">
        <v>17.3</v>
      </c>
      <c r="H383" s="10" t="n">
        <v>160.9</v>
      </c>
      <c r="I383" s="10" t="n">
        <v>22.9</v>
      </c>
    </row>
    <row r="384" customFormat="false" ht="15" hidden="false" customHeight="false" outlineLevel="0" collapsed="false">
      <c r="A384" s="8" t="n">
        <v>46</v>
      </c>
      <c r="B384" s="8" t="s">
        <v>91</v>
      </c>
      <c r="C384" s="8" t="s">
        <v>61</v>
      </c>
      <c r="D384" s="5" t="s">
        <v>95</v>
      </c>
      <c r="E384" s="9" t="n">
        <v>250</v>
      </c>
      <c r="F384" s="10" t="n">
        <v>21.4</v>
      </c>
      <c r="G384" s="10" t="n">
        <v>0.8</v>
      </c>
      <c r="H384" s="10" t="n">
        <v>40.2</v>
      </c>
      <c r="I384" s="10" t="n">
        <v>0.4</v>
      </c>
    </row>
    <row r="385" customFormat="false" ht="15" hidden="false" customHeight="false" outlineLevel="0" collapsed="false">
      <c r="A385" s="8" t="n">
        <v>46</v>
      </c>
      <c r="B385" s="8" t="s">
        <v>91</v>
      </c>
      <c r="C385" s="8" t="s">
        <v>62</v>
      </c>
      <c r="D385" s="5" t="s">
        <v>208</v>
      </c>
      <c r="E385" s="9" t="n">
        <v>176</v>
      </c>
      <c r="F385" s="10" t="n">
        <v>7.5</v>
      </c>
      <c r="G385" s="10" t="n">
        <v>14.7</v>
      </c>
      <c r="H385" s="10" t="n">
        <v>4.5</v>
      </c>
      <c r="I385" s="10" t="n">
        <v>1.8</v>
      </c>
    </row>
    <row r="386" customFormat="false" ht="15" hidden="false" customHeight="false" outlineLevel="0" collapsed="false">
      <c r="A386" s="3"/>
      <c r="B386" s="3"/>
      <c r="C386" s="15" t="s">
        <v>243</v>
      </c>
      <c r="D386" s="15" t="s">
        <v>437</v>
      </c>
      <c r="E386" s="16" t="n">
        <f aca="false">SUM(E379:E385)</f>
        <v>3990</v>
      </c>
      <c r="F386" s="17" t="n">
        <f aca="false">SUM(F379:F385)</f>
        <v>220.9</v>
      </c>
      <c r="G386" s="17" t="n">
        <f aca="false">SUM(G379:G385)</f>
        <v>78.8</v>
      </c>
      <c r="H386" s="17" t="n">
        <f aca="false">SUM(H379:H385)</f>
        <v>603.7</v>
      </c>
      <c r="I386" s="17" t="n">
        <f aca="false">SUM(I379:I385)</f>
        <v>57.4</v>
      </c>
    </row>
    <row r="388" customFormat="false" ht="15" hidden="false" customHeight="false" outlineLevel="0" collapsed="false">
      <c r="A388" s="8" t="n">
        <v>47</v>
      </c>
      <c r="B388" s="8" t="s">
        <v>97</v>
      </c>
      <c r="C388" s="8" t="s">
        <v>56</v>
      </c>
      <c r="D388" s="5" t="s">
        <v>78</v>
      </c>
      <c r="E388" s="9" t="n">
        <v>630</v>
      </c>
      <c r="F388" s="10" t="n">
        <v>34.2</v>
      </c>
      <c r="G388" s="10" t="n">
        <v>18.1</v>
      </c>
      <c r="H388" s="10" t="n">
        <v>80.6</v>
      </c>
      <c r="I388" s="10" t="n">
        <v>11.9</v>
      </c>
    </row>
    <row r="389" customFormat="false" ht="15" hidden="false" customHeight="false" outlineLevel="0" collapsed="false">
      <c r="A389" s="8" t="n">
        <v>47</v>
      </c>
      <c r="B389" s="8" t="s">
        <v>97</v>
      </c>
      <c r="C389" s="8" t="s">
        <v>320</v>
      </c>
      <c r="D389" s="5" t="s">
        <v>321</v>
      </c>
      <c r="E389" s="9" t="n">
        <v>942</v>
      </c>
      <c r="F389" s="10" t="n">
        <v>48.6</v>
      </c>
      <c r="G389" s="10" t="n">
        <v>35.6</v>
      </c>
      <c r="H389" s="10" t="n">
        <v>107.1</v>
      </c>
      <c r="I389" s="10" t="n">
        <v>9.1</v>
      </c>
    </row>
    <row r="390" customFormat="false" ht="15" hidden="false" customHeight="false" outlineLevel="0" collapsed="false">
      <c r="A390" s="8" t="n">
        <v>47</v>
      </c>
      <c r="B390" s="8" t="s">
        <v>97</v>
      </c>
      <c r="C390" s="8" t="s">
        <v>438</v>
      </c>
      <c r="D390" s="5" t="s">
        <v>439</v>
      </c>
      <c r="E390" s="9" t="n">
        <v>1037</v>
      </c>
      <c r="F390" s="10" t="n">
        <v>49</v>
      </c>
      <c r="G390" s="10" t="n">
        <v>28.2</v>
      </c>
      <c r="H390" s="10" t="n">
        <v>147.5</v>
      </c>
      <c r="I390" s="10" t="n">
        <v>12</v>
      </c>
    </row>
    <row r="391" customFormat="false" ht="15" hidden="false" customHeight="false" outlineLevel="0" collapsed="false">
      <c r="A391" s="8" t="n">
        <v>47</v>
      </c>
      <c r="B391" s="8" t="s">
        <v>97</v>
      </c>
      <c r="C391" s="8" t="s">
        <v>61</v>
      </c>
      <c r="D391" s="5" t="s">
        <v>100</v>
      </c>
      <c r="E391" s="9" t="n">
        <v>439</v>
      </c>
      <c r="F391" s="10" t="n">
        <v>16.3</v>
      </c>
      <c r="G391" s="10" t="n">
        <v>16.4</v>
      </c>
      <c r="H391" s="10" t="n">
        <v>58.1</v>
      </c>
      <c r="I391" s="10" t="n">
        <v>3.2</v>
      </c>
    </row>
    <row r="392" customFormat="false" ht="23.85" hidden="false" customHeight="false" outlineLevel="0" collapsed="false">
      <c r="A392" s="8" t="n">
        <v>47</v>
      </c>
      <c r="B392" s="8" t="s">
        <v>97</v>
      </c>
      <c r="C392" s="8" t="s">
        <v>62</v>
      </c>
      <c r="D392" s="5" t="s">
        <v>210</v>
      </c>
      <c r="E392" s="9" t="n">
        <v>1025</v>
      </c>
      <c r="F392" s="10" t="n">
        <v>31.9</v>
      </c>
      <c r="G392" s="10" t="n">
        <v>12.6</v>
      </c>
      <c r="H392" s="10" t="n">
        <v>192</v>
      </c>
      <c r="I392" s="10" t="n">
        <v>2.8</v>
      </c>
    </row>
    <row r="393" customFormat="false" ht="15" hidden="false" customHeight="false" outlineLevel="0" collapsed="false">
      <c r="A393" s="3"/>
      <c r="B393" s="3"/>
      <c r="C393" s="15" t="s">
        <v>243</v>
      </c>
      <c r="D393" s="15" t="s">
        <v>440</v>
      </c>
      <c r="E393" s="16" t="n">
        <f aca="false">SUM(E388:E392)</f>
        <v>4073</v>
      </c>
      <c r="F393" s="17" t="n">
        <f aca="false">SUM(F388:F392)</f>
        <v>180</v>
      </c>
      <c r="G393" s="17" t="n">
        <f aca="false">SUM(G388:G392)</f>
        <v>110.9</v>
      </c>
      <c r="H393" s="17" t="n">
        <f aca="false">SUM(H388:H392)</f>
        <v>585.3</v>
      </c>
      <c r="I393" s="17" t="n">
        <f aca="false">SUM(I388:I392)</f>
        <v>39</v>
      </c>
    </row>
    <row r="395" customFormat="false" ht="15" hidden="false" customHeight="false" outlineLevel="0" collapsed="false">
      <c r="A395" s="8" t="n">
        <v>48</v>
      </c>
      <c r="B395" s="8" t="s">
        <v>102</v>
      </c>
      <c r="C395" s="8" t="s">
        <v>56</v>
      </c>
      <c r="D395" s="5" t="s">
        <v>85</v>
      </c>
      <c r="E395" s="9" t="n">
        <v>687</v>
      </c>
      <c r="F395" s="10" t="n">
        <v>43</v>
      </c>
      <c r="G395" s="10" t="n">
        <v>17.3</v>
      </c>
      <c r="H395" s="10" t="n">
        <v>92.7</v>
      </c>
      <c r="I395" s="10" t="n">
        <v>5.5</v>
      </c>
    </row>
    <row r="396" customFormat="false" ht="15" hidden="false" customHeight="false" outlineLevel="0" collapsed="false">
      <c r="A396" s="8" t="n">
        <v>48</v>
      </c>
      <c r="B396" s="8" t="s">
        <v>102</v>
      </c>
      <c r="C396" s="8" t="s">
        <v>57</v>
      </c>
      <c r="D396" s="5" t="s">
        <v>79</v>
      </c>
      <c r="E396" s="9" t="n">
        <v>419</v>
      </c>
      <c r="F396" s="10" t="n">
        <v>5.3</v>
      </c>
      <c r="G396" s="10" t="n">
        <v>1.4</v>
      </c>
      <c r="H396" s="10" t="n">
        <v>100.7</v>
      </c>
      <c r="I396" s="10" t="n">
        <v>4.7</v>
      </c>
    </row>
    <row r="397" customFormat="false" ht="15" hidden="false" customHeight="false" outlineLevel="0" collapsed="false">
      <c r="A397" s="8" t="n">
        <v>48</v>
      </c>
      <c r="B397" s="8" t="s">
        <v>102</v>
      </c>
      <c r="C397" s="8" t="s">
        <v>325</v>
      </c>
      <c r="D397" s="5" t="s">
        <v>326</v>
      </c>
      <c r="E397" s="9" t="n">
        <v>817</v>
      </c>
      <c r="F397" s="10" t="n">
        <v>45.5</v>
      </c>
      <c r="G397" s="10" t="n">
        <v>10.3</v>
      </c>
      <c r="H397" s="10" t="n">
        <v>135.5</v>
      </c>
      <c r="I397" s="10" t="n">
        <v>16.1</v>
      </c>
    </row>
    <row r="398" customFormat="false" ht="15" hidden="false" customHeight="false" outlineLevel="0" collapsed="false">
      <c r="A398" s="8" t="n">
        <v>48</v>
      </c>
      <c r="B398" s="8" t="s">
        <v>102</v>
      </c>
      <c r="C398" s="8" t="s">
        <v>59</v>
      </c>
      <c r="D398" s="5" t="s">
        <v>87</v>
      </c>
      <c r="E398" s="9" t="n">
        <v>484</v>
      </c>
      <c r="F398" s="10" t="n">
        <v>28.1</v>
      </c>
      <c r="G398" s="10" t="n">
        <v>5.5</v>
      </c>
      <c r="H398" s="10" t="n">
        <v>82.7</v>
      </c>
      <c r="I398" s="10" t="n">
        <v>3.5</v>
      </c>
    </row>
    <row r="399" customFormat="false" ht="15" hidden="false" customHeight="false" outlineLevel="0" collapsed="false">
      <c r="A399" s="8" t="n">
        <v>48</v>
      </c>
      <c r="B399" s="8" t="s">
        <v>102</v>
      </c>
      <c r="C399" s="8" t="s">
        <v>441</v>
      </c>
      <c r="D399" s="5" t="s">
        <v>442</v>
      </c>
      <c r="E399" s="9" t="n">
        <v>907</v>
      </c>
      <c r="F399" s="10" t="n">
        <v>57.1</v>
      </c>
      <c r="G399" s="10" t="n">
        <v>28.4</v>
      </c>
      <c r="H399" s="10" t="n">
        <v>101.4</v>
      </c>
      <c r="I399" s="10" t="n">
        <v>11.8</v>
      </c>
    </row>
    <row r="400" customFormat="false" ht="15" hidden="false" customHeight="false" outlineLevel="0" collapsed="false">
      <c r="A400" s="8" t="n">
        <v>48</v>
      </c>
      <c r="B400" s="8" t="s">
        <v>102</v>
      </c>
      <c r="C400" s="8" t="s">
        <v>61</v>
      </c>
      <c r="D400" s="5" t="s">
        <v>105</v>
      </c>
      <c r="E400" s="9" t="n">
        <v>279</v>
      </c>
      <c r="F400" s="10" t="n">
        <v>25.6</v>
      </c>
      <c r="G400" s="10" t="n">
        <v>2</v>
      </c>
      <c r="H400" s="10" t="n">
        <v>42.2</v>
      </c>
      <c r="I400" s="10" t="n">
        <v>2.7</v>
      </c>
    </row>
    <row r="401" customFormat="false" ht="15" hidden="false" customHeight="false" outlineLevel="0" collapsed="false">
      <c r="A401" s="8" t="n">
        <v>48</v>
      </c>
      <c r="B401" s="8" t="s">
        <v>102</v>
      </c>
      <c r="C401" s="8" t="s">
        <v>62</v>
      </c>
      <c r="D401" s="5" t="s">
        <v>212</v>
      </c>
      <c r="E401" s="9" t="n">
        <v>340</v>
      </c>
      <c r="F401" s="10" t="n">
        <v>12.2</v>
      </c>
      <c r="G401" s="10" t="n">
        <v>22.3</v>
      </c>
      <c r="H401" s="10" t="n">
        <v>26.1</v>
      </c>
      <c r="I401" s="10" t="n">
        <v>4.9</v>
      </c>
    </row>
    <row r="402" customFormat="false" ht="15" hidden="false" customHeight="false" outlineLevel="0" collapsed="false">
      <c r="A402" s="3"/>
      <c r="B402" s="3"/>
      <c r="C402" s="15" t="s">
        <v>243</v>
      </c>
      <c r="D402" s="15" t="s">
        <v>443</v>
      </c>
      <c r="E402" s="16" t="n">
        <f aca="false">SUM(E395:E401)</f>
        <v>3933</v>
      </c>
      <c r="F402" s="17" t="n">
        <f aca="false">SUM(F395:F401)</f>
        <v>216.8</v>
      </c>
      <c r="G402" s="17" t="n">
        <f aca="false">SUM(G395:G401)</f>
        <v>87.2</v>
      </c>
      <c r="H402" s="17" t="n">
        <f aca="false">SUM(H395:H401)</f>
        <v>581.3</v>
      </c>
      <c r="I402" s="17" t="n">
        <f aca="false">SUM(I395:I401)</f>
        <v>49.2</v>
      </c>
    </row>
    <row r="404" customFormat="false" ht="15" hidden="false" customHeight="false" outlineLevel="0" collapsed="false">
      <c r="A404" s="8" t="n">
        <v>49</v>
      </c>
      <c r="B404" s="8" t="s">
        <v>107</v>
      </c>
      <c r="C404" s="8" t="s">
        <v>56</v>
      </c>
      <c r="D404" s="5" t="s">
        <v>70</v>
      </c>
      <c r="E404" s="9" t="n">
        <v>737</v>
      </c>
      <c r="F404" s="10" t="n">
        <v>44.8</v>
      </c>
      <c r="G404" s="10" t="n">
        <v>23.9</v>
      </c>
      <c r="H404" s="10" t="n">
        <v>86.1</v>
      </c>
      <c r="I404" s="10" t="n">
        <v>14.3</v>
      </c>
    </row>
    <row r="405" customFormat="false" ht="15" hidden="false" customHeight="false" outlineLevel="0" collapsed="false">
      <c r="A405" s="8" t="n">
        <v>49</v>
      </c>
      <c r="B405" s="8" t="s">
        <v>107</v>
      </c>
      <c r="C405" s="8" t="s">
        <v>57</v>
      </c>
      <c r="D405" s="5" t="s">
        <v>79</v>
      </c>
      <c r="E405" s="9" t="n">
        <v>419</v>
      </c>
      <c r="F405" s="10" t="n">
        <v>5.3</v>
      </c>
      <c r="G405" s="10" t="n">
        <v>1.4</v>
      </c>
      <c r="H405" s="10" t="n">
        <v>100.7</v>
      </c>
      <c r="I405" s="10" t="n">
        <v>4.7</v>
      </c>
    </row>
    <row r="406" customFormat="false" ht="15" hidden="false" customHeight="false" outlineLevel="0" collapsed="false">
      <c r="A406" s="8" t="n">
        <v>49</v>
      </c>
      <c r="B406" s="8" t="s">
        <v>107</v>
      </c>
      <c r="C406" s="8" t="s">
        <v>330</v>
      </c>
      <c r="D406" s="5" t="s">
        <v>331</v>
      </c>
      <c r="E406" s="9" t="n">
        <v>792</v>
      </c>
      <c r="F406" s="10" t="n">
        <v>52.4</v>
      </c>
      <c r="G406" s="10" t="n">
        <v>7.9</v>
      </c>
      <c r="H406" s="10" t="n">
        <v>127.9</v>
      </c>
      <c r="I406" s="10" t="n">
        <v>11.4</v>
      </c>
    </row>
    <row r="407" customFormat="false" ht="15" hidden="false" customHeight="false" outlineLevel="0" collapsed="false">
      <c r="A407" s="8" t="n">
        <v>49</v>
      </c>
      <c r="B407" s="8" t="s">
        <v>107</v>
      </c>
      <c r="C407" s="8" t="s">
        <v>59</v>
      </c>
      <c r="D407" s="5" t="s">
        <v>93</v>
      </c>
      <c r="E407" s="9" t="n">
        <v>603</v>
      </c>
      <c r="F407" s="10" t="n">
        <v>34.2</v>
      </c>
      <c r="G407" s="10" t="n">
        <v>1.4</v>
      </c>
      <c r="H407" s="10" t="n">
        <v>112.3</v>
      </c>
      <c r="I407" s="10" t="n">
        <v>1.3</v>
      </c>
    </row>
    <row r="408" customFormat="false" ht="15" hidden="false" customHeight="false" outlineLevel="0" collapsed="false">
      <c r="A408" s="8" t="n">
        <v>49</v>
      </c>
      <c r="B408" s="8" t="s">
        <v>107</v>
      </c>
      <c r="C408" s="8" t="s">
        <v>444</v>
      </c>
      <c r="D408" s="5" t="s">
        <v>445</v>
      </c>
      <c r="E408" s="9" t="n">
        <v>1088</v>
      </c>
      <c r="F408" s="10" t="n">
        <v>66</v>
      </c>
      <c r="G408" s="10" t="n">
        <v>18.8</v>
      </c>
      <c r="H408" s="10" t="n">
        <v>159.4</v>
      </c>
      <c r="I408" s="10" t="n">
        <v>14.1</v>
      </c>
    </row>
    <row r="409" customFormat="false" ht="15" hidden="false" customHeight="false" outlineLevel="0" collapsed="false">
      <c r="A409" s="8" t="n">
        <v>49</v>
      </c>
      <c r="B409" s="8" t="s">
        <v>107</v>
      </c>
      <c r="C409" s="8" t="s">
        <v>61</v>
      </c>
      <c r="D409" s="5" t="s">
        <v>74</v>
      </c>
      <c r="E409" s="9" t="n">
        <v>334</v>
      </c>
      <c r="F409" s="10" t="n">
        <v>26.1</v>
      </c>
      <c r="G409" s="10" t="n">
        <v>2.2</v>
      </c>
      <c r="H409" s="10" t="n">
        <v>55.6</v>
      </c>
      <c r="I409" s="10" t="n">
        <v>2.6</v>
      </c>
    </row>
    <row r="410" customFormat="false" ht="15" hidden="false" customHeight="false" outlineLevel="0" collapsed="false">
      <c r="A410" s="8" t="n">
        <v>49</v>
      </c>
      <c r="B410" s="8" t="s">
        <v>107</v>
      </c>
      <c r="C410" s="8" t="s">
        <v>62</v>
      </c>
      <c r="D410" s="5" t="s">
        <v>214</v>
      </c>
      <c r="E410" s="9" t="n">
        <v>265</v>
      </c>
      <c r="F410" s="10" t="n">
        <v>0</v>
      </c>
      <c r="G410" s="10" t="n">
        <v>30</v>
      </c>
      <c r="H410" s="10" t="n">
        <v>0</v>
      </c>
      <c r="I410" s="10" t="n">
        <v>0</v>
      </c>
    </row>
    <row r="411" customFormat="false" ht="15" hidden="false" customHeight="false" outlineLevel="0" collapsed="false">
      <c r="A411" s="3"/>
      <c r="B411" s="3"/>
      <c r="C411" s="15" t="s">
        <v>243</v>
      </c>
      <c r="D411" s="15" t="s">
        <v>446</v>
      </c>
      <c r="E411" s="16" t="n">
        <f aca="false">SUM(E404:E410)</f>
        <v>4238</v>
      </c>
      <c r="F411" s="17" t="n">
        <f aca="false">SUM(F404:F410)</f>
        <v>228.8</v>
      </c>
      <c r="G411" s="17" t="n">
        <f aca="false">SUM(G404:G410)</f>
        <v>85.6</v>
      </c>
      <c r="H411" s="17" t="n">
        <f aca="false">SUM(H404:H410)</f>
        <v>642</v>
      </c>
      <c r="I411" s="17" t="n">
        <f aca="false">SUM(I404:I410)</f>
        <v>48.4</v>
      </c>
    </row>
    <row r="413" customFormat="false" ht="15" hidden="false" customHeight="false" outlineLevel="0" collapsed="false">
      <c r="A413" s="8" t="n">
        <v>50</v>
      </c>
      <c r="B413" s="8" t="s">
        <v>68</v>
      </c>
      <c r="C413" s="8" t="s">
        <v>56</v>
      </c>
      <c r="D413" s="5" t="s">
        <v>78</v>
      </c>
      <c r="E413" s="9" t="n">
        <v>630</v>
      </c>
      <c r="F413" s="10" t="n">
        <v>34.2</v>
      </c>
      <c r="G413" s="10" t="n">
        <v>18.1</v>
      </c>
      <c r="H413" s="10" t="n">
        <v>80.6</v>
      </c>
      <c r="I413" s="10" t="n">
        <v>11.9</v>
      </c>
    </row>
    <row r="414" customFormat="false" ht="15" hidden="false" customHeight="false" outlineLevel="0" collapsed="false">
      <c r="A414" s="8" t="n">
        <v>50</v>
      </c>
      <c r="B414" s="8" t="s">
        <v>68</v>
      </c>
      <c r="C414" s="8" t="s">
        <v>335</v>
      </c>
      <c r="D414" s="5" t="s">
        <v>336</v>
      </c>
      <c r="E414" s="9" t="n">
        <v>803</v>
      </c>
      <c r="F414" s="10" t="n">
        <v>43.9</v>
      </c>
      <c r="G414" s="10" t="n">
        <v>33.2</v>
      </c>
      <c r="H414" s="10" t="n">
        <v>79.4</v>
      </c>
      <c r="I414" s="10" t="n">
        <v>7.4</v>
      </c>
    </row>
    <row r="415" customFormat="false" ht="15" hidden="false" customHeight="false" outlineLevel="0" collapsed="false">
      <c r="A415" s="8" t="n">
        <v>50</v>
      </c>
      <c r="B415" s="8" t="s">
        <v>68</v>
      </c>
      <c r="C415" s="8" t="s">
        <v>447</v>
      </c>
      <c r="D415" s="5" t="s">
        <v>448</v>
      </c>
      <c r="E415" s="9" t="n">
        <v>965</v>
      </c>
      <c r="F415" s="10" t="n">
        <v>38.4</v>
      </c>
      <c r="G415" s="10" t="n">
        <v>31.2</v>
      </c>
      <c r="H415" s="10" t="n">
        <v>132.9</v>
      </c>
      <c r="I415" s="10" t="n">
        <v>12.9</v>
      </c>
    </row>
    <row r="416" customFormat="false" ht="15" hidden="false" customHeight="false" outlineLevel="0" collapsed="false">
      <c r="A416" s="8" t="n">
        <v>50</v>
      </c>
      <c r="B416" s="8" t="s">
        <v>68</v>
      </c>
      <c r="C416" s="8" t="s">
        <v>61</v>
      </c>
      <c r="D416" s="5" t="s">
        <v>83</v>
      </c>
      <c r="E416" s="9" t="n">
        <v>305</v>
      </c>
      <c r="F416" s="10" t="n">
        <v>27.1</v>
      </c>
      <c r="G416" s="10" t="n">
        <v>1.9</v>
      </c>
      <c r="H416" s="10" t="n">
        <v>47.5</v>
      </c>
      <c r="I416" s="10" t="n">
        <v>2.4</v>
      </c>
    </row>
    <row r="417" customFormat="false" ht="23.85" hidden="false" customHeight="false" outlineLevel="0" collapsed="false">
      <c r="A417" s="8" t="n">
        <v>50</v>
      </c>
      <c r="B417" s="8" t="s">
        <v>68</v>
      </c>
      <c r="C417" s="8" t="s">
        <v>62</v>
      </c>
      <c r="D417" s="5" t="s">
        <v>216</v>
      </c>
      <c r="E417" s="9" t="n">
        <v>1224</v>
      </c>
      <c r="F417" s="10" t="n">
        <v>44.6</v>
      </c>
      <c r="G417" s="10" t="n">
        <v>29.9</v>
      </c>
      <c r="H417" s="10" t="n">
        <v>189.4</v>
      </c>
      <c r="I417" s="10" t="n">
        <v>28.4</v>
      </c>
    </row>
    <row r="418" customFormat="false" ht="15" hidden="false" customHeight="false" outlineLevel="0" collapsed="false">
      <c r="A418" s="3"/>
      <c r="B418" s="3"/>
      <c r="C418" s="15" t="s">
        <v>243</v>
      </c>
      <c r="D418" s="15" t="s">
        <v>449</v>
      </c>
      <c r="E418" s="16" t="n">
        <f aca="false">SUM(E413:E417)</f>
        <v>3927</v>
      </c>
      <c r="F418" s="17" t="n">
        <f aca="false">SUM(F413:F417)</f>
        <v>188.2</v>
      </c>
      <c r="G418" s="17" t="n">
        <f aca="false">SUM(G413:G417)</f>
        <v>114.3</v>
      </c>
      <c r="H418" s="17" t="n">
        <f aca="false">SUM(H413:H417)</f>
        <v>529.8</v>
      </c>
      <c r="I418" s="17" t="n">
        <f aca="false">SUM(I413:I417)</f>
        <v>63</v>
      </c>
    </row>
    <row r="420" customFormat="false" ht="15" hidden="false" customHeight="false" outlineLevel="0" collapsed="false">
      <c r="A420" s="8" t="n">
        <v>51</v>
      </c>
      <c r="B420" s="8" t="s">
        <v>76</v>
      </c>
      <c r="C420" s="8" t="s">
        <v>56</v>
      </c>
      <c r="D420" s="5" t="s">
        <v>85</v>
      </c>
      <c r="E420" s="9" t="n">
        <v>687</v>
      </c>
      <c r="F420" s="10" t="n">
        <v>43</v>
      </c>
      <c r="G420" s="10" t="n">
        <v>17.3</v>
      </c>
      <c r="H420" s="10" t="n">
        <v>92.7</v>
      </c>
      <c r="I420" s="10" t="n">
        <v>5.5</v>
      </c>
    </row>
    <row r="421" customFormat="false" ht="15" hidden="false" customHeight="false" outlineLevel="0" collapsed="false">
      <c r="A421" s="8" t="n">
        <v>51</v>
      </c>
      <c r="B421" s="8" t="s">
        <v>76</v>
      </c>
      <c r="C421" s="8" t="s">
        <v>57</v>
      </c>
      <c r="D421" s="5" t="s">
        <v>79</v>
      </c>
      <c r="E421" s="9" t="n">
        <v>419</v>
      </c>
      <c r="F421" s="10" t="n">
        <v>5.3</v>
      </c>
      <c r="G421" s="10" t="n">
        <v>1.4</v>
      </c>
      <c r="H421" s="10" t="n">
        <v>100.7</v>
      </c>
      <c r="I421" s="10" t="n">
        <v>4.7</v>
      </c>
    </row>
    <row r="422" customFormat="false" ht="15" hidden="false" customHeight="false" outlineLevel="0" collapsed="false">
      <c r="A422" s="8" t="n">
        <v>51</v>
      </c>
      <c r="B422" s="8" t="s">
        <v>76</v>
      </c>
      <c r="C422" s="8" t="s">
        <v>340</v>
      </c>
      <c r="D422" s="5" t="s">
        <v>341</v>
      </c>
      <c r="E422" s="9" t="n">
        <v>794</v>
      </c>
      <c r="F422" s="10" t="n">
        <v>52.1</v>
      </c>
      <c r="G422" s="10" t="n">
        <v>23.3</v>
      </c>
      <c r="H422" s="10" t="n">
        <v>93.5</v>
      </c>
      <c r="I422" s="10" t="n">
        <v>15.7</v>
      </c>
    </row>
    <row r="423" customFormat="false" ht="15" hidden="false" customHeight="false" outlineLevel="0" collapsed="false">
      <c r="A423" s="8" t="n">
        <v>51</v>
      </c>
      <c r="B423" s="8" t="s">
        <v>76</v>
      </c>
      <c r="C423" s="8" t="s">
        <v>59</v>
      </c>
      <c r="D423" s="5" t="s">
        <v>87</v>
      </c>
      <c r="E423" s="9" t="n">
        <v>484</v>
      </c>
      <c r="F423" s="10" t="n">
        <v>28.1</v>
      </c>
      <c r="G423" s="10" t="n">
        <v>5.5</v>
      </c>
      <c r="H423" s="10" t="n">
        <v>82.7</v>
      </c>
      <c r="I423" s="10" t="n">
        <v>3.5</v>
      </c>
    </row>
    <row r="424" customFormat="false" ht="15" hidden="false" customHeight="false" outlineLevel="0" collapsed="false">
      <c r="A424" s="8" t="n">
        <v>51</v>
      </c>
      <c r="B424" s="8" t="s">
        <v>76</v>
      </c>
      <c r="C424" s="8" t="s">
        <v>450</v>
      </c>
      <c r="D424" s="5" t="s">
        <v>451</v>
      </c>
      <c r="E424" s="9" t="n">
        <v>1292</v>
      </c>
      <c r="F424" s="10" t="n">
        <v>76</v>
      </c>
      <c r="G424" s="10" t="n">
        <v>34.2</v>
      </c>
      <c r="H424" s="10" t="n">
        <v>172.7</v>
      </c>
      <c r="I424" s="10" t="n">
        <v>17.8</v>
      </c>
    </row>
    <row r="425" customFormat="false" ht="15" hidden="false" customHeight="false" outlineLevel="0" collapsed="false">
      <c r="A425" s="8" t="n">
        <v>51</v>
      </c>
      <c r="B425" s="8" t="s">
        <v>76</v>
      </c>
      <c r="C425" s="8" t="s">
        <v>61</v>
      </c>
      <c r="D425" s="5" t="s">
        <v>89</v>
      </c>
      <c r="E425" s="9" t="n">
        <v>297</v>
      </c>
      <c r="F425" s="10" t="n">
        <v>23.9</v>
      </c>
      <c r="G425" s="10" t="n">
        <v>10.2</v>
      </c>
      <c r="H425" s="10" t="n">
        <v>30.2</v>
      </c>
      <c r="I425" s="10" t="n">
        <v>1.1</v>
      </c>
    </row>
    <row r="426" customFormat="false" ht="15" hidden="false" customHeight="false" outlineLevel="0" collapsed="false">
      <c r="A426" s="8" t="n">
        <v>51</v>
      </c>
      <c r="B426" s="8" t="s">
        <v>76</v>
      </c>
      <c r="C426" s="8" t="s">
        <v>62</v>
      </c>
      <c r="D426" s="5" t="s">
        <v>218</v>
      </c>
      <c r="E426" s="9" t="n">
        <v>195</v>
      </c>
      <c r="F426" s="10" t="n">
        <v>0.3</v>
      </c>
      <c r="G426" s="10" t="n">
        <v>20.1</v>
      </c>
      <c r="H426" s="10" t="n">
        <v>4.2</v>
      </c>
      <c r="I426" s="10" t="n">
        <v>0.1</v>
      </c>
    </row>
    <row r="427" customFormat="false" ht="15" hidden="false" customHeight="false" outlineLevel="0" collapsed="false">
      <c r="A427" s="3"/>
      <c r="B427" s="3"/>
      <c r="C427" s="15" t="s">
        <v>243</v>
      </c>
      <c r="D427" s="15" t="s">
        <v>452</v>
      </c>
      <c r="E427" s="16" t="n">
        <f aca="false">SUM(E420:E426)</f>
        <v>4168</v>
      </c>
      <c r="F427" s="17" t="n">
        <f aca="false">SUM(F420:F426)</f>
        <v>228.7</v>
      </c>
      <c r="G427" s="17" t="n">
        <f aca="false">SUM(G420:G426)</f>
        <v>112</v>
      </c>
      <c r="H427" s="17" t="n">
        <f aca="false">SUM(H420:H426)</f>
        <v>576.7</v>
      </c>
      <c r="I427" s="17" t="n">
        <f aca="false">SUM(I420:I426)</f>
        <v>48.4</v>
      </c>
    </row>
    <row r="429" customFormat="false" ht="15" hidden="false" customHeight="false" outlineLevel="0" collapsed="false">
      <c r="A429" s="8" t="n">
        <v>52</v>
      </c>
      <c r="B429" s="8" t="s">
        <v>84</v>
      </c>
      <c r="C429" s="8" t="s">
        <v>56</v>
      </c>
      <c r="D429" s="5" t="s">
        <v>70</v>
      </c>
      <c r="E429" s="9" t="n">
        <v>737</v>
      </c>
      <c r="F429" s="10" t="n">
        <v>44.8</v>
      </c>
      <c r="G429" s="10" t="n">
        <v>23.9</v>
      </c>
      <c r="H429" s="10" t="n">
        <v>86.1</v>
      </c>
      <c r="I429" s="10" t="n">
        <v>14.3</v>
      </c>
    </row>
    <row r="430" customFormat="false" ht="15" hidden="false" customHeight="false" outlineLevel="0" collapsed="false">
      <c r="A430" s="8" t="n">
        <v>52</v>
      </c>
      <c r="B430" s="8" t="s">
        <v>84</v>
      </c>
      <c r="C430" s="8" t="s">
        <v>57</v>
      </c>
      <c r="D430" s="5" t="s">
        <v>79</v>
      </c>
      <c r="E430" s="9" t="n">
        <v>419</v>
      </c>
      <c r="F430" s="10" t="n">
        <v>5.3</v>
      </c>
      <c r="G430" s="10" t="n">
        <v>1.4</v>
      </c>
      <c r="H430" s="10" t="n">
        <v>100.7</v>
      </c>
      <c r="I430" s="10" t="n">
        <v>4.7</v>
      </c>
    </row>
    <row r="431" customFormat="false" ht="15" hidden="false" customHeight="false" outlineLevel="0" collapsed="false">
      <c r="A431" s="8" t="n">
        <v>52</v>
      </c>
      <c r="B431" s="8" t="s">
        <v>84</v>
      </c>
      <c r="C431" s="8" t="s">
        <v>345</v>
      </c>
      <c r="D431" s="5" t="s">
        <v>346</v>
      </c>
      <c r="E431" s="9" t="n">
        <v>836</v>
      </c>
      <c r="F431" s="10" t="n">
        <v>49.7</v>
      </c>
      <c r="G431" s="10" t="n">
        <v>25.5</v>
      </c>
      <c r="H431" s="10" t="n">
        <v>90.8</v>
      </c>
      <c r="I431" s="10" t="n">
        <v>17.4</v>
      </c>
    </row>
    <row r="432" customFormat="false" ht="15" hidden="false" customHeight="false" outlineLevel="0" collapsed="false">
      <c r="A432" s="8" t="n">
        <v>52</v>
      </c>
      <c r="B432" s="8" t="s">
        <v>84</v>
      </c>
      <c r="C432" s="8" t="s">
        <v>59</v>
      </c>
      <c r="D432" s="5" t="s">
        <v>93</v>
      </c>
      <c r="E432" s="9" t="n">
        <v>603</v>
      </c>
      <c r="F432" s="10" t="n">
        <v>34.2</v>
      </c>
      <c r="G432" s="10" t="n">
        <v>1.4</v>
      </c>
      <c r="H432" s="10" t="n">
        <v>112.3</v>
      </c>
      <c r="I432" s="10" t="n">
        <v>1.3</v>
      </c>
    </row>
    <row r="433" customFormat="false" ht="15" hidden="false" customHeight="false" outlineLevel="0" collapsed="false">
      <c r="A433" s="8" t="n">
        <v>52</v>
      </c>
      <c r="B433" s="8" t="s">
        <v>84</v>
      </c>
      <c r="C433" s="8" t="s">
        <v>453</v>
      </c>
      <c r="D433" s="5" t="s">
        <v>454</v>
      </c>
      <c r="E433" s="9" t="n">
        <v>842</v>
      </c>
      <c r="F433" s="10" t="n">
        <v>47.9</v>
      </c>
      <c r="G433" s="10" t="n">
        <v>20.9</v>
      </c>
      <c r="H433" s="10" t="n">
        <v>120.3</v>
      </c>
      <c r="I433" s="10" t="n">
        <v>22.9</v>
      </c>
    </row>
    <row r="434" customFormat="false" ht="15" hidden="false" customHeight="false" outlineLevel="0" collapsed="false">
      <c r="A434" s="8" t="n">
        <v>52</v>
      </c>
      <c r="B434" s="8" t="s">
        <v>84</v>
      </c>
      <c r="C434" s="8" t="s">
        <v>61</v>
      </c>
      <c r="D434" s="5" t="s">
        <v>95</v>
      </c>
      <c r="E434" s="9" t="n">
        <v>250</v>
      </c>
      <c r="F434" s="10" t="n">
        <v>21.4</v>
      </c>
      <c r="G434" s="10" t="n">
        <v>0.8</v>
      </c>
      <c r="H434" s="10" t="n">
        <v>40.2</v>
      </c>
      <c r="I434" s="10" t="n">
        <v>0.4</v>
      </c>
    </row>
    <row r="435" customFormat="false" ht="15" hidden="false" customHeight="false" outlineLevel="0" collapsed="false">
      <c r="A435" s="8" t="n">
        <v>52</v>
      </c>
      <c r="B435" s="8" t="s">
        <v>84</v>
      </c>
      <c r="C435" s="8" t="s">
        <v>62</v>
      </c>
      <c r="D435" s="5" t="s">
        <v>220</v>
      </c>
      <c r="E435" s="9" t="n">
        <v>279</v>
      </c>
      <c r="F435" s="10" t="n">
        <v>8.8</v>
      </c>
      <c r="G435" s="10" t="n">
        <v>15</v>
      </c>
      <c r="H435" s="10" t="n">
        <v>30.7</v>
      </c>
      <c r="I435" s="10" t="n">
        <v>4.8</v>
      </c>
    </row>
    <row r="436" customFormat="false" ht="15" hidden="false" customHeight="false" outlineLevel="0" collapsed="false">
      <c r="A436" s="3"/>
      <c r="B436" s="3"/>
      <c r="C436" s="15" t="s">
        <v>243</v>
      </c>
      <c r="D436" s="15" t="s">
        <v>455</v>
      </c>
      <c r="E436" s="16" t="n">
        <f aca="false">SUM(E429:E435)</f>
        <v>3966</v>
      </c>
      <c r="F436" s="17" t="n">
        <f aca="false">SUM(F429:F435)</f>
        <v>212.1</v>
      </c>
      <c r="G436" s="17" t="n">
        <f aca="false">SUM(G429:G435)</f>
        <v>88.9</v>
      </c>
      <c r="H436" s="17" t="n">
        <f aca="false">SUM(H429:H435)</f>
        <v>581.1</v>
      </c>
      <c r="I436" s="17" t="n">
        <f aca="false">SUM(I429:I435)</f>
        <v>65.8</v>
      </c>
    </row>
    <row r="438" customFormat="false" ht="15" hidden="false" customHeight="false" outlineLevel="0" collapsed="false">
      <c r="A438" s="8" t="n">
        <v>53</v>
      </c>
      <c r="B438" s="8" t="s">
        <v>91</v>
      </c>
      <c r="C438" s="8" t="s">
        <v>56</v>
      </c>
      <c r="D438" s="5" t="s">
        <v>78</v>
      </c>
      <c r="E438" s="9" t="n">
        <v>630</v>
      </c>
      <c r="F438" s="10" t="n">
        <v>34.2</v>
      </c>
      <c r="G438" s="10" t="n">
        <v>18.1</v>
      </c>
      <c r="H438" s="10" t="n">
        <v>80.6</v>
      </c>
      <c r="I438" s="10" t="n">
        <v>11.9</v>
      </c>
    </row>
    <row r="439" customFormat="false" ht="15" hidden="false" customHeight="false" outlineLevel="0" collapsed="false">
      <c r="A439" s="8" t="n">
        <v>53</v>
      </c>
      <c r="B439" s="8" t="s">
        <v>91</v>
      </c>
      <c r="C439" s="8" t="s">
        <v>57</v>
      </c>
      <c r="D439" s="5" t="s">
        <v>79</v>
      </c>
      <c r="E439" s="9" t="n">
        <v>419</v>
      </c>
      <c r="F439" s="10" t="n">
        <v>5.3</v>
      </c>
      <c r="G439" s="10" t="n">
        <v>1.4</v>
      </c>
      <c r="H439" s="10" t="n">
        <v>100.7</v>
      </c>
      <c r="I439" s="10" t="n">
        <v>4.7</v>
      </c>
    </row>
    <row r="440" customFormat="false" ht="15" hidden="false" customHeight="false" outlineLevel="0" collapsed="false">
      <c r="A440" s="8" t="n">
        <v>53</v>
      </c>
      <c r="B440" s="8" t="s">
        <v>91</v>
      </c>
      <c r="C440" s="8" t="s">
        <v>350</v>
      </c>
      <c r="D440" s="5" t="s">
        <v>351</v>
      </c>
      <c r="E440" s="9" t="n">
        <v>913</v>
      </c>
      <c r="F440" s="10" t="n">
        <v>46.8</v>
      </c>
      <c r="G440" s="10" t="n">
        <v>30.5</v>
      </c>
      <c r="H440" s="10" t="n">
        <v>113.9</v>
      </c>
      <c r="I440" s="10" t="n">
        <v>33.3</v>
      </c>
    </row>
    <row r="441" customFormat="false" ht="15" hidden="false" customHeight="false" outlineLevel="0" collapsed="false">
      <c r="A441" s="8" t="n">
        <v>53</v>
      </c>
      <c r="B441" s="8" t="s">
        <v>91</v>
      </c>
      <c r="C441" s="8" t="s">
        <v>59</v>
      </c>
      <c r="D441" s="5" t="s">
        <v>81</v>
      </c>
      <c r="E441" s="9" t="n">
        <v>546</v>
      </c>
      <c r="F441" s="10" t="n">
        <v>33</v>
      </c>
      <c r="G441" s="10" t="n">
        <v>6.4</v>
      </c>
      <c r="H441" s="10" t="n">
        <v>88</v>
      </c>
      <c r="I441" s="10" t="n">
        <v>9.5</v>
      </c>
    </row>
    <row r="442" customFormat="false" ht="15" hidden="false" customHeight="false" outlineLevel="0" collapsed="false">
      <c r="A442" s="8" t="n">
        <v>53</v>
      </c>
      <c r="B442" s="8" t="s">
        <v>91</v>
      </c>
      <c r="C442" s="8" t="s">
        <v>456</v>
      </c>
      <c r="D442" s="5" t="s">
        <v>457</v>
      </c>
      <c r="E442" s="9" t="n">
        <v>841</v>
      </c>
      <c r="F442" s="10" t="n">
        <v>53.1</v>
      </c>
      <c r="G442" s="10" t="n">
        <v>17.8</v>
      </c>
      <c r="H442" s="10" t="n">
        <v>113.6</v>
      </c>
      <c r="I442" s="10" t="n">
        <v>10</v>
      </c>
    </row>
    <row r="443" customFormat="false" ht="15" hidden="false" customHeight="false" outlineLevel="0" collapsed="false">
      <c r="A443" s="8" t="n">
        <v>53</v>
      </c>
      <c r="B443" s="8" t="s">
        <v>91</v>
      </c>
      <c r="C443" s="8" t="s">
        <v>61</v>
      </c>
      <c r="D443" s="5" t="s">
        <v>100</v>
      </c>
      <c r="E443" s="9" t="n">
        <v>439</v>
      </c>
      <c r="F443" s="10" t="n">
        <v>16.3</v>
      </c>
      <c r="G443" s="10" t="n">
        <v>16.4</v>
      </c>
      <c r="H443" s="10" t="n">
        <v>58.1</v>
      </c>
      <c r="I443" s="10" t="n">
        <v>3.2</v>
      </c>
    </row>
    <row r="444" customFormat="false" ht="15" hidden="false" customHeight="false" outlineLevel="0" collapsed="false">
      <c r="A444" s="8" t="n">
        <v>53</v>
      </c>
      <c r="B444" s="8" t="s">
        <v>91</v>
      </c>
      <c r="C444" s="8" t="s">
        <v>62</v>
      </c>
      <c r="D444" s="5" t="s">
        <v>222</v>
      </c>
      <c r="E444" s="9" t="n">
        <v>301</v>
      </c>
      <c r="F444" s="10" t="n">
        <v>1.9</v>
      </c>
      <c r="G444" s="10" t="n">
        <v>20.6</v>
      </c>
      <c r="H444" s="10" t="n">
        <v>28.6</v>
      </c>
      <c r="I444" s="10" t="n">
        <v>0.6</v>
      </c>
    </row>
    <row r="445" customFormat="false" ht="15" hidden="false" customHeight="false" outlineLevel="0" collapsed="false">
      <c r="A445" s="3"/>
      <c r="B445" s="3"/>
      <c r="C445" s="15" t="s">
        <v>243</v>
      </c>
      <c r="D445" s="15" t="s">
        <v>458</v>
      </c>
      <c r="E445" s="16" t="n">
        <f aca="false">SUM(E438:E444)</f>
        <v>4089</v>
      </c>
      <c r="F445" s="17" t="n">
        <f aca="false">SUM(F438:F444)</f>
        <v>190.6</v>
      </c>
      <c r="G445" s="17" t="n">
        <f aca="false">SUM(G438:G444)</f>
        <v>111.2</v>
      </c>
      <c r="H445" s="17" t="n">
        <f aca="false">SUM(H438:H444)</f>
        <v>583.5</v>
      </c>
      <c r="I445" s="17" t="n">
        <f aca="false">SUM(I438:I444)</f>
        <v>73.2</v>
      </c>
    </row>
    <row r="447" customFormat="false" ht="15" hidden="false" customHeight="false" outlineLevel="0" collapsed="false">
      <c r="A447" s="8" t="n">
        <v>54</v>
      </c>
      <c r="B447" s="8" t="s">
        <v>97</v>
      </c>
      <c r="C447" s="8" t="s">
        <v>56</v>
      </c>
      <c r="D447" s="5" t="s">
        <v>85</v>
      </c>
      <c r="E447" s="9" t="n">
        <v>687</v>
      </c>
      <c r="F447" s="10" t="n">
        <v>43</v>
      </c>
      <c r="G447" s="10" t="n">
        <v>17.3</v>
      </c>
      <c r="H447" s="10" t="n">
        <v>92.7</v>
      </c>
      <c r="I447" s="10" t="n">
        <v>5.5</v>
      </c>
    </row>
    <row r="448" customFormat="false" ht="15" hidden="false" customHeight="false" outlineLevel="0" collapsed="false">
      <c r="A448" s="8" t="n">
        <v>54</v>
      </c>
      <c r="B448" s="8" t="s">
        <v>97</v>
      </c>
      <c r="C448" s="8" t="s">
        <v>355</v>
      </c>
      <c r="D448" s="5" t="s">
        <v>356</v>
      </c>
      <c r="E448" s="9" t="n">
        <v>788</v>
      </c>
      <c r="F448" s="10" t="n">
        <v>40.6</v>
      </c>
      <c r="G448" s="10" t="n">
        <v>19.8</v>
      </c>
      <c r="H448" s="10" t="n">
        <v>113.9</v>
      </c>
      <c r="I448" s="10" t="n">
        <v>17</v>
      </c>
    </row>
    <row r="449" customFormat="false" ht="15" hidden="false" customHeight="false" outlineLevel="0" collapsed="false">
      <c r="A449" s="8" t="n">
        <v>54</v>
      </c>
      <c r="B449" s="8" t="s">
        <v>97</v>
      </c>
      <c r="C449" s="8" t="s">
        <v>459</v>
      </c>
      <c r="D449" s="5" t="s">
        <v>460</v>
      </c>
      <c r="E449" s="9" t="n">
        <v>1064</v>
      </c>
      <c r="F449" s="10" t="n">
        <v>70.1</v>
      </c>
      <c r="G449" s="10" t="n">
        <v>33.2</v>
      </c>
      <c r="H449" s="10" t="n">
        <v>120.1</v>
      </c>
      <c r="I449" s="10" t="n">
        <v>18.4</v>
      </c>
    </row>
    <row r="450" customFormat="false" ht="15" hidden="false" customHeight="false" outlineLevel="0" collapsed="false">
      <c r="A450" s="8" t="n">
        <v>54</v>
      </c>
      <c r="B450" s="8" t="s">
        <v>97</v>
      </c>
      <c r="C450" s="8" t="s">
        <v>61</v>
      </c>
      <c r="D450" s="5" t="s">
        <v>105</v>
      </c>
      <c r="E450" s="9" t="n">
        <v>279</v>
      </c>
      <c r="F450" s="10" t="n">
        <v>25.6</v>
      </c>
      <c r="G450" s="10" t="n">
        <v>2</v>
      </c>
      <c r="H450" s="10" t="n">
        <v>42.2</v>
      </c>
      <c r="I450" s="10" t="n">
        <v>2.7</v>
      </c>
    </row>
    <row r="451" customFormat="false" ht="15" hidden="false" customHeight="false" outlineLevel="0" collapsed="false">
      <c r="A451" s="8" t="n">
        <v>54</v>
      </c>
      <c r="B451" s="8" t="s">
        <v>97</v>
      </c>
      <c r="C451" s="8" t="s">
        <v>62</v>
      </c>
      <c r="D451" s="5" t="s">
        <v>224</v>
      </c>
      <c r="E451" s="9" t="n">
        <v>1071</v>
      </c>
      <c r="F451" s="10" t="n">
        <v>33.5</v>
      </c>
      <c r="G451" s="10" t="n">
        <v>20</v>
      </c>
      <c r="H451" s="10" t="n">
        <v>184.2</v>
      </c>
      <c r="I451" s="10" t="n">
        <v>27.2</v>
      </c>
    </row>
    <row r="452" customFormat="false" ht="15" hidden="false" customHeight="false" outlineLevel="0" collapsed="false">
      <c r="A452" s="3"/>
      <c r="B452" s="3"/>
      <c r="C452" s="15" t="s">
        <v>243</v>
      </c>
      <c r="D452" s="15" t="s">
        <v>461</v>
      </c>
      <c r="E452" s="16" t="n">
        <f aca="false">SUM(E447:E451)</f>
        <v>3889</v>
      </c>
      <c r="F452" s="17" t="n">
        <f aca="false">SUM(F447:F451)</f>
        <v>212.8</v>
      </c>
      <c r="G452" s="17" t="n">
        <f aca="false">SUM(G447:G451)</f>
        <v>92.3</v>
      </c>
      <c r="H452" s="17" t="n">
        <f aca="false">SUM(H447:H451)</f>
        <v>553.1</v>
      </c>
      <c r="I452" s="17" t="n">
        <f aca="false">SUM(I447:I451)</f>
        <v>70.8</v>
      </c>
    </row>
    <row r="454" customFormat="false" ht="15" hidden="false" customHeight="false" outlineLevel="0" collapsed="false">
      <c r="A454" s="8" t="n">
        <v>55</v>
      </c>
      <c r="B454" s="8" t="s">
        <v>102</v>
      </c>
      <c r="C454" s="8" t="s">
        <v>56</v>
      </c>
      <c r="D454" s="5" t="s">
        <v>70</v>
      </c>
      <c r="E454" s="9" t="n">
        <v>737</v>
      </c>
      <c r="F454" s="10" t="n">
        <v>44.8</v>
      </c>
      <c r="G454" s="10" t="n">
        <v>23.9</v>
      </c>
      <c r="H454" s="10" t="n">
        <v>86.1</v>
      </c>
      <c r="I454" s="10" t="n">
        <v>14.3</v>
      </c>
    </row>
    <row r="455" customFormat="false" ht="15" hidden="false" customHeight="false" outlineLevel="0" collapsed="false">
      <c r="A455" s="8" t="n">
        <v>55</v>
      </c>
      <c r="B455" s="8" t="s">
        <v>102</v>
      </c>
      <c r="C455" s="8" t="s">
        <v>57</v>
      </c>
      <c r="D455" s="5" t="s">
        <v>79</v>
      </c>
      <c r="E455" s="9" t="n">
        <v>419</v>
      </c>
      <c r="F455" s="10" t="n">
        <v>5.3</v>
      </c>
      <c r="G455" s="10" t="n">
        <v>1.4</v>
      </c>
      <c r="H455" s="10" t="n">
        <v>100.7</v>
      </c>
      <c r="I455" s="10" t="n">
        <v>4.7</v>
      </c>
    </row>
    <row r="456" customFormat="false" ht="15" hidden="false" customHeight="false" outlineLevel="0" collapsed="false">
      <c r="A456" s="8" t="n">
        <v>55</v>
      </c>
      <c r="B456" s="8" t="s">
        <v>102</v>
      </c>
      <c r="C456" s="8" t="s">
        <v>360</v>
      </c>
      <c r="D456" s="5" t="s">
        <v>361</v>
      </c>
      <c r="E456" s="9" t="n">
        <v>773</v>
      </c>
      <c r="F456" s="10" t="n">
        <v>44.4</v>
      </c>
      <c r="G456" s="10" t="n">
        <v>16.4</v>
      </c>
      <c r="H456" s="10" t="n">
        <v>107.1</v>
      </c>
      <c r="I456" s="10" t="n">
        <v>6.2</v>
      </c>
    </row>
    <row r="457" customFormat="false" ht="15" hidden="false" customHeight="false" outlineLevel="0" collapsed="false">
      <c r="A457" s="8" t="n">
        <v>55</v>
      </c>
      <c r="B457" s="8" t="s">
        <v>102</v>
      </c>
      <c r="C457" s="8" t="s">
        <v>59</v>
      </c>
      <c r="D457" s="5" t="s">
        <v>93</v>
      </c>
      <c r="E457" s="9" t="n">
        <v>603</v>
      </c>
      <c r="F457" s="10" t="n">
        <v>34.2</v>
      </c>
      <c r="G457" s="10" t="n">
        <v>1.4</v>
      </c>
      <c r="H457" s="10" t="n">
        <v>112.3</v>
      </c>
      <c r="I457" s="10" t="n">
        <v>1.3</v>
      </c>
    </row>
    <row r="458" customFormat="false" ht="15" hidden="false" customHeight="false" outlineLevel="0" collapsed="false">
      <c r="A458" s="8" t="n">
        <v>55</v>
      </c>
      <c r="B458" s="8" t="s">
        <v>102</v>
      </c>
      <c r="C458" s="8" t="s">
        <v>462</v>
      </c>
      <c r="D458" s="5" t="s">
        <v>463</v>
      </c>
      <c r="E458" s="9" t="n">
        <v>945</v>
      </c>
      <c r="F458" s="10" t="n">
        <v>55.6</v>
      </c>
      <c r="G458" s="10" t="n">
        <v>17.3</v>
      </c>
      <c r="H458" s="10" t="n">
        <v>138.7</v>
      </c>
      <c r="I458" s="10" t="n">
        <v>7.7</v>
      </c>
    </row>
    <row r="459" customFormat="false" ht="15" hidden="false" customHeight="false" outlineLevel="0" collapsed="false">
      <c r="A459" s="8" t="n">
        <v>55</v>
      </c>
      <c r="B459" s="8" t="s">
        <v>102</v>
      </c>
      <c r="C459" s="8" t="s">
        <v>61</v>
      </c>
      <c r="D459" s="5" t="s">
        <v>74</v>
      </c>
      <c r="E459" s="9" t="n">
        <v>334</v>
      </c>
      <c r="F459" s="10" t="n">
        <v>26.1</v>
      </c>
      <c r="G459" s="10" t="n">
        <v>2.2</v>
      </c>
      <c r="H459" s="10" t="n">
        <v>55.6</v>
      </c>
      <c r="I459" s="10" t="n">
        <v>2.6</v>
      </c>
    </row>
    <row r="460" customFormat="false" ht="15" hidden="false" customHeight="false" outlineLevel="0" collapsed="false">
      <c r="A460" s="8" t="n">
        <v>55</v>
      </c>
      <c r="B460" s="8" t="s">
        <v>102</v>
      </c>
      <c r="C460" s="8" t="s">
        <v>62</v>
      </c>
      <c r="D460" s="5" t="s">
        <v>214</v>
      </c>
      <c r="E460" s="9" t="n">
        <v>265</v>
      </c>
      <c r="F460" s="10" t="n">
        <v>0</v>
      </c>
      <c r="G460" s="10" t="n">
        <v>30</v>
      </c>
      <c r="H460" s="10" t="n">
        <v>0</v>
      </c>
      <c r="I460" s="10" t="n">
        <v>0</v>
      </c>
    </row>
    <row r="461" customFormat="false" ht="15" hidden="false" customHeight="false" outlineLevel="0" collapsed="false">
      <c r="A461" s="3"/>
      <c r="B461" s="3"/>
      <c r="C461" s="15" t="s">
        <v>243</v>
      </c>
      <c r="D461" s="15" t="s">
        <v>464</v>
      </c>
      <c r="E461" s="16" t="n">
        <f aca="false">SUM(E454:E460)</f>
        <v>4076</v>
      </c>
      <c r="F461" s="17" t="n">
        <f aca="false">SUM(F454:F460)</f>
        <v>210.4</v>
      </c>
      <c r="G461" s="17" t="n">
        <f aca="false">SUM(G454:G460)</f>
        <v>92.6</v>
      </c>
      <c r="H461" s="17" t="n">
        <f aca="false">SUM(H454:H460)</f>
        <v>600.5</v>
      </c>
      <c r="I461" s="17" t="n">
        <f aca="false">SUM(I454:I460)</f>
        <v>36.8</v>
      </c>
    </row>
    <row r="463" customFormat="false" ht="15" hidden="false" customHeight="false" outlineLevel="0" collapsed="false">
      <c r="A463" s="8" t="n">
        <v>56</v>
      </c>
      <c r="B463" s="8" t="s">
        <v>107</v>
      </c>
      <c r="C463" s="8" t="s">
        <v>56</v>
      </c>
      <c r="D463" s="5" t="s">
        <v>78</v>
      </c>
      <c r="E463" s="9" t="n">
        <v>630</v>
      </c>
      <c r="F463" s="10" t="n">
        <v>34.2</v>
      </c>
      <c r="G463" s="10" t="n">
        <v>18.1</v>
      </c>
      <c r="H463" s="10" t="n">
        <v>80.6</v>
      </c>
      <c r="I463" s="10" t="n">
        <v>11.9</v>
      </c>
    </row>
    <row r="464" customFormat="false" ht="15" hidden="false" customHeight="false" outlineLevel="0" collapsed="false">
      <c r="A464" s="8" t="n">
        <v>56</v>
      </c>
      <c r="B464" s="8" t="s">
        <v>107</v>
      </c>
      <c r="C464" s="8" t="s">
        <v>57</v>
      </c>
      <c r="D464" s="5" t="s">
        <v>79</v>
      </c>
      <c r="E464" s="9" t="n">
        <v>419</v>
      </c>
      <c r="F464" s="10" t="n">
        <v>5.3</v>
      </c>
      <c r="G464" s="10" t="n">
        <v>1.4</v>
      </c>
      <c r="H464" s="10" t="n">
        <v>100.7</v>
      </c>
      <c r="I464" s="10" t="n">
        <v>4.7</v>
      </c>
    </row>
    <row r="465" customFormat="false" ht="15" hidden="false" customHeight="false" outlineLevel="0" collapsed="false">
      <c r="A465" s="8" t="n">
        <v>56</v>
      </c>
      <c r="B465" s="8" t="s">
        <v>107</v>
      </c>
      <c r="C465" s="8" t="s">
        <v>365</v>
      </c>
      <c r="D465" s="5" t="s">
        <v>366</v>
      </c>
      <c r="E465" s="9" t="n">
        <v>694</v>
      </c>
      <c r="F465" s="10" t="n">
        <v>46.4</v>
      </c>
      <c r="G465" s="10" t="n">
        <v>18.7</v>
      </c>
      <c r="H465" s="10" t="n">
        <v>89.5</v>
      </c>
      <c r="I465" s="10" t="n">
        <v>18.1</v>
      </c>
    </row>
    <row r="466" customFormat="false" ht="15" hidden="false" customHeight="false" outlineLevel="0" collapsed="false">
      <c r="A466" s="8" t="n">
        <v>56</v>
      </c>
      <c r="B466" s="8" t="s">
        <v>107</v>
      </c>
      <c r="C466" s="8" t="s">
        <v>59</v>
      </c>
      <c r="D466" s="5" t="s">
        <v>81</v>
      </c>
      <c r="E466" s="9" t="n">
        <v>546</v>
      </c>
      <c r="F466" s="10" t="n">
        <v>33</v>
      </c>
      <c r="G466" s="10" t="n">
        <v>6.4</v>
      </c>
      <c r="H466" s="10" t="n">
        <v>88</v>
      </c>
      <c r="I466" s="10" t="n">
        <v>9.5</v>
      </c>
    </row>
    <row r="467" customFormat="false" ht="15" hidden="false" customHeight="false" outlineLevel="0" collapsed="false">
      <c r="A467" s="8" t="n">
        <v>56</v>
      </c>
      <c r="B467" s="8" t="s">
        <v>107</v>
      </c>
      <c r="C467" s="8" t="s">
        <v>465</v>
      </c>
      <c r="D467" s="5" t="s">
        <v>466</v>
      </c>
      <c r="E467" s="9" t="n">
        <v>999</v>
      </c>
      <c r="F467" s="10" t="n">
        <v>61.6</v>
      </c>
      <c r="G467" s="10" t="n">
        <v>33.1</v>
      </c>
      <c r="H467" s="10" t="n">
        <v>118.1</v>
      </c>
      <c r="I467" s="10" t="n">
        <v>16</v>
      </c>
    </row>
    <row r="468" customFormat="false" ht="15" hidden="false" customHeight="false" outlineLevel="0" collapsed="false">
      <c r="A468" s="8" t="n">
        <v>56</v>
      </c>
      <c r="B468" s="8" t="s">
        <v>107</v>
      </c>
      <c r="C468" s="8" t="s">
        <v>61</v>
      </c>
      <c r="D468" s="5" t="s">
        <v>83</v>
      </c>
      <c r="E468" s="9" t="n">
        <v>305</v>
      </c>
      <c r="F468" s="10" t="n">
        <v>27.1</v>
      </c>
      <c r="G468" s="10" t="n">
        <v>1.9</v>
      </c>
      <c r="H468" s="10" t="n">
        <v>47.5</v>
      </c>
      <c r="I468" s="10" t="n">
        <v>2.4</v>
      </c>
    </row>
    <row r="469" customFormat="false" ht="15" hidden="false" customHeight="false" outlineLevel="0" collapsed="false">
      <c r="A469" s="8" t="n">
        <v>56</v>
      </c>
      <c r="B469" s="8" t="s">
        <v>107</v>
      </c>
      <c r="C469" s="8" t="s">
        <v>62</v>
      </c>
      <c r="D469" s="5" t="s">
        <v>227</v>
      </c>
      <c r="E469" s="9" t="n">
        <v>302</v>
      </c>
      <c r="F469" s="10" t="n">
        <v>6.4</v>
      </c>
      <c r="G469" s="10" t="n">
        <v>8.1</v>
      </c>
      <c r="H469" s="10" t="n">
        <v>57</v>
      </c>
      <c r="I469" s="10" t="n">
        <v>7.1</v>
      </c>
    </row>
    <row r="470" customFormat="false" ht="15" hidden="false" customHeight="false" outlineLevel="0" collapsed="false">
      <c r="A470" s="3"/>
      <c r="B470" s="3"/>
      <c r="C470" s="15" t="s">
        <v>243</v>
      </c>
      <c r="D470" s="15" t="s">
        <v>467</v>
      </c>
      <c r="E470" s="16" t="n">
        <f aca="false">SUM(E463:E469)</f>
        <v>3895</v>
      </c>
      <c r="F470" s="17" t="n">
        <f aca="false">SUM(F463:F469)</f>
        <v>214</v>
      </c>
      <c r="G470" s="17" t="n">
        <f aca="false">SUM(G463:G469)</f>
        <v>87.7</v>
      </c>
      <c r="H470" s="17" t="n">
        <f aca="false">SUM(H463:H469)</f>
        <v>581.4</v>
      </c>
      <c r="I470" s="17" t="n">
        <f aca="false">SUM(I463:I469)</f>
        <v>69.7</v>
      </c>
    </row>
    <row r="472" customFormat="false" ht="15" hidden="false" customHeight="false" outlineLevel="0" collapsed="false">
      <c r="A472" s="8" t="n">
        <v>57</v>
      </c>
      <c r="B472" s="8" t="s">
        <v>68</v>
      </c>
      <c r="C472" s="8" t="s">
        <v>56</v>
      </c>
      <c r="D472" s="5" t="s">
        <v>85</v>
      </c>
      <c r="E472" s="9" t="n">
        <v>687</v>
      </c>
      <c r="F472" s="10" t="n">
        <v>43</v>
      </c>
      <c r="G472" s="10" t="n">
        <v>17.3</v>
      </c>
      <c r="H472" s="10" t="n">
        <v>92.7</v>
      </c>
      <c r="I472" s="10" t="n">
        <v>5.5</v>
      </c>
    </row>
    <row r="473" customFormat="false" ht="15" hidden="false" customHeight="false" outlineLevel="0" collapsed="false">
      <c r="A473" s="8" t="n">
        <v>57</v>
      </c>
      <c r="B473" s="8" t="s">
        <v>68</v>
      </c>
      <c r="C473" s="8" t="s">
        <v>370</v>
      </c>
      <c r="D473" s="5" t="s">
        <v>371</v>
      </c>
      <c r="E473" s="9" t="n">
        <v>1008</v>
      </c>
      <c r="F473" s="10" t="n">
        <v>45.8</v>
      </c>
      <c r="G473" s="10" t="n">
        <v>27.5</v>
      </c>
      <c r="H473" s="10" t="n">
        <v>139.3</v>
      </c>
      <c r="I473" s="10" t="n">
        <v>21.8</v>
      </c>
    </row>
    <row r="474" customFormat="false" ht="15" hidden="false" customHeight="false" outlineLevel="0" collapsed="false">
      <c r="A474" s="8" t="n">
        <v>57</v>
      </c>
      <c r="B474" s="8" t="s">
        <v>68</v>
      </c>
      <c r="C474" s="8" t="s">
        <v>468</v>
      </c>
      <c r="D474" s="5" t="s">
        <v>469</v>
      </c>
      <c r="E474" s="9" t="n">
        <v>1057</v>
      </c>
      <c r="F474" s="10" t="n">
        <v>68.3</v>
      </c>
      <c r="G474" s="10" t="n">
        <v>25.1</v>
      </c>
      <c r="H474" s="10" t="n">
        <v>136.5</v>
      </c>
      <c r="I474" s="10" t="n">
        <v>10.4</v>
      </c>
    </row>
    <row r="475" customFormat="false" ht="15" hidden="false" customHeight="false" outlineLevel="0" collapsed="false">
      <c r="A475" s="8" t="n">
        <v>57</v>
      </c>
      <c r="B475" s="8" t="s">
        <v>68</v>
      </c>
      <c r="C475" s="8" t="s">
        <v>61</v>
      </c>
      <c r="D475" s="5" t="s">
        <v>89</v>
      </c>
      <c r="E475" s="9" t="n">
        <v>297</v>
      </c>
      <c r="F475" s="10" t="n">
        <v>23.9</v>
      </c>
      <c r="G475" s="10" t="n">
        <v>10.2</v>
      </c>
      <c r="H475" s="10" t="n">
        <v>30.2</v>
      </c>
      <c r="I475" s="10" t="n">
        <v>1.1</v>
      </c>
    </row>
    <row r="476" customFormat="false" ht="15" hidden="false" customHeight="false" outlineLevel="0" collapsed="false">
      <c r="A476" s="8" t="n">
        <v>57</v>
      </c>
      <c r="B476" s="8" t="s">
        <v>68</v>
      </c>
      <c r="C476" s="8" t="s">
        <v>62</v>
      </c>
      <c r="D476" s="5" t="s">
        <v>229</v>
      </c>
      <c r="E476" s="9" t="n">
        <v>1095</v>
      </c>
      <c r="F476" s="10" t="n">
        <v>16.3</v>
      </c>
      <c r="G476" s="10" t="n">
        <v>32.3</v>
      </c>
      <c r="H476" s="10" t="n">
        <v>182.6</v>
      </c>
      <c r="I476" s="10" t="n">
        <v>2.8</v>
      </c>
    </row>
    <row r="477" customFormat="false" ht="15" hidden="false" customHeight="false" outlineLevel="0" collapsed="false">
      <c r="A477" s="3"/>
      <c r="B477" s="3"/>
      <c r="C477" s="15" t="s">
        <v>243</v>
      </c>
      <c r="D477" s="15" t="s">
        <v>470</v>
      </c>
      <c r="E477" s="16" t="n">
        <f aca="false">SUM(E472:E476)</f>
        <v>4144</v>
      </c>
      <c r="F477" s="17" t="n">
        <f aca="false">SUM(F472:F476)</f>
        <v>197.3</v>
      </c>
      <c r="G477" s="17" t="n">
        <f aca="false">SUM(G472:G476)</f>
        <v>112.4</v>
      </c>
      <c r="H477" s="17" t="n">
        <f aca="false">SUM(H472:H476)</f>
        <v>581.3</v>
      </c>
      <c r="I477" s="17" t="n">
        <f aca="false">SUM(I472:I476)</f>
        <v>41.6</v>
      </c>
    </row>
    <row r="479" customFormat="false" ht="15" hidden="false" customHeight="false" outlineLevel="0" collapsed="false">
      <c r="A479" s="8" t="n">
        <v>58</v>
      </c>
      <c r="B479" s="8" t="s">
        <v>76</v>
      </c>
      <c r="C479" s="8" t="s">
        <v>56</v>
      </c>
      <c r="D479" s="5" t="s">
        <v>70</v>
      </c>
      <c r="E479" s="9" t="n">
        <v>737</v>
      </c>
      <c r="F479" s="10" t="n">
        <v>44.8</v>
      </c>
      <c r="G479" s="10" t="n">
        <v>23.9</v>
      </c>
      <c r="H479" s="10" t="n">
        <v>86.1</v>
      </c>
      <c r="I479" s="10" t="n">
        <v>14.3</v>
      </c>
    </row>
    <row r="480" customFormat="false" ht="15" hidden="false" customHeight="false" outlineLevel="0" collapsed="false">
      <c r="A480" s="8" t="n">
        <v>58</v>
      </c>
      <c r="B480" s="8" t="s">
        <v>76</v>
      </c>
      <c r="C480" s="8" t="s">
        <v>57</v>
      </c>
      <c r="D480" s="5" t="s">
        <v>79</v>
      </c>
      <c r="E480" s="9" t="n">
        <v>419</v>
      </c>
      <c r="F480" s="10" t="n">
        <v>5.3</v>
      </c>
      <c r="G480" s="10" t="n">
        <v>1.4</v>
      </c>
      <c r="H480" s="10" t="n">
        <v>100.7</v>
      </c>
      <c r="I480" s="10" t="n">
        <v>4.7</v>
      </c>
    </row>
    <row r="481" customFormat="false" ht="15" hidden="false" customHeight="false" outlineLevel="0" collapsed="false">
      <c r="A481" s="8" t="n">
        <v>58</v>
      </c>
      <c r="B481" s="8" t="s">
        <v>76</v>
      </c>
      <c r="C481" s="8" t="s">
        <v>375</v>
      </c>
      <c r="D481" s="5" t="s">
        <v>376</v>
      </c>
      <c r="E481" s="9" t="n">
        <v>904</v>
      </c>
      <c r="F481" s="10" t="n">
        <v>57</v>
      </c>
      <c r="G481" s="10" t="n">
        <v>16.5</v>
      </c>
      <c r="H481" s="10" t="n">
        <v>133.5</v>
      </c>
      <c r="I481" s="10" t="n">
        <v>13.9</v>
      </c>
    </row>
    <row r="482" customFormat="false" ht="15" hidden="false" customHeight="false" outlineLevel="0" collapsed="false">
      <c r="A482" s="8" t="n">
        <v>58</v>
      </c>
      <c r="B482" s="8" t="s">
        <v>76</v>
      </c>
      <c r="C482" s="8" t="s">
        <v>59</v>
      </c>
      <c r="D482" s="5" t="s">
        <v>93</v>
      </c>
      <c r="E482" s="9" t="n">
        <v>603</v>
      </c>
      <c r="F482" s="10" t="n">
        <v>34.2</v>
      </c>
      <c r="G482" s="10" t="n">
        <v>1.4</v>
      </c>
      <c r="H482" s="10" t="n">
        <v>112.3</v>
      </c>
      <c r="I482" s="10" t="n">
        <v>1.3</v>
      </c>
    </row>
    <row r="483" customFormat="false" ht="15" hidden="false" customHeight="false" outlineLevel="0" collapsed="false">
      <c r="A483" s="8" t="n">
        <v>58</v>
      </c>
      <c r="B483" s="8" t="s">
        <v>76</v>
      </c>
      <c r="C483" s="8" t="s">
        <v>471</v>
      </c>
      <c r="D483" s="5" t="s">
        <v>472</v>
      </c>
      <c r="E483" s="9" t="n">
        <v>906</v>
      </c>
      <c r="F483" s="10" t="n">
        <v>50.5</v>
      </c>
      <c r="G483" s="10" t="n">
        <v>32.2</v>
      </c>
      <c r="H483" s="10" t="n">
        <v>106.5</v>
      </c>
      <c r="I483" s="10" t="n">
        <v>18.8</v>
      </c>
    </row>
    <row r="484" customFormat="false" ht="15" hidden="false" customHeight="false" outlineLevel="0" collapsed="false">
      <c r="A484" s="8" t="n">
        <v>58</v>
      </c>
      <c r="B484" s="8" t="s">
        <v>76</v>
      </c>
      <c r="C484" s="8" t="s">
        <v>61</v>
      </c>
      <c r="D484" s="5" t="s">
        <v>95</v>
      </c>
      <c r="E484" s="9" t="n">
        <v>250</v>
      </c>
      <c r="F484" s="10" t="n">
        <v>21.4</v>
      </c>
      <c r="G484" s="10" t="n">
        <v>0.8</v>
      </c>
      <c r="H484" s="10" t="n">
        <v>40.2</v>
      </c>
      <c r="I484" s="10" t="n">
        <v>0.4</v>
      </c>
    </row>
    <row r="485" customFormat="false" ht="15" hidden="false" customHeight="false" outlineLevel="0" collapsed="false">
      <c r="A485" s="8" t="n">
        <v>58</v>
      </c>
      <c r="B485" s="8" t="s">
        <v>76</v>
      </c>
      <c r="C485" s="8" t="s">
        <v>62</v>
      </c>
      <c r="D485" s="5" t="s">
        <v>119</v>
      </c>
      <c r="E485" s="9" t="n">
        <v>118</v>
      </c>
      <c r="F485" s="10" t="n">
        <v>5</v>
      </c>
      <c r="G485" s="10" t="n">
        <v>9.8</v>
      </c>
      <c r="H485" s="10" t="n">
        <v>3</v>
      </c>
      <c r="I485" s="10" t="n">
        <v>1.2</v>
      </c>
    </row>
    <row r="486" customFormat="false" ht="15" hidden="false" customHeight="false" outlineLevel="0" collapsed="false">
      <c r="A486" s="3"/>
      <c r="B486" s="3"/>
      <c r="C486" s="15" t="s">
        <v>243</v>
      </c>
      <c r="D486" s="15" t="s">
        <v>473</v>
      </c>
      <c r="E486" s="16" t="n">
        <f aca="false">SUM(E479:E485)</f>
        <v>3937</v>
      </c>
      <c r="F486" s="17" t="n">
        <f aca="false">SUM(F479:F485)</f>
        <v>218.2</v>
      </c>
      <c r="G486" s="17" t="n">
        <f aca="false">SUM(G479:G485)</f>
        <v>86</v>
      </c>
      <c r="H486" s="17" t="n">
        <f aca="false">SUM(H479:H485)</f>
        <v>582.3</v>
      </c>
      <c r="I486" s="17" t="n">
        <f aca="false">SUM(I479:I485)</f>
        <v>54.6</v>
      </c>
    </row>
    <row r="488" customFormat="false" ht="15" hidden="false" customHeight="false" outlineLevel="0" collapsed="false">
      <c r="A488" s="8" t="n">
        <v>59</v>
      </c>
      <c r="B488" s="8" t="s">
        <v>84</v>
      </c>
      <c r="C488" s="8" t="s">
        <v>56</v>
      </c>
      <c r="D488" s="5" t="s">
        <v>78</v>
      </c>
      <c r="E488" s="9" t="n">
        <v>630</v>
      </c>
      <c r="F488" s="10" t="n">
        <v>34.2</v>
      </c>
      <c r="G488" s="10" t="n">
        <v>18.1</v>
      </c>
      <c r="H488" s="10" t="n">
        <v>80.6</v>
      </c>
      <c r="I488" s="10" t="n">
        <v>11.9</v>
      </c>
    </row>
    <row r="489" customFormat="false" ht="15" hidden="false" customHeight="false" outlineLevel="0" collapsed="false">
      <c r="A489" s="8" t="n">
        <v>59</v>
      </c>
      <c r="B489" s="8" t="s">
        <v>84</v>
      </c>
      <c r="C489" s="8" t="s">
        <v>57</v>
      </c>
      <c r="D489" s="5" t="s">
        <v>79</v>
      </c>
      <c r="E489" s="9" t="n">
        <v>419</v>
      </c>
      <c r="F489" s="10" t="n">
        <v>5.3</v>
      </c>
      <c r="G489" s="10" t="n">
        <v>1.4</v>
      </c>
      <c r="H489" s="10" t="n">
        <v>100.7</v>
      </c>
      <c r="I489" s="10" t="n">
        <v>4.7</v>
      </c>
    </row>
    <row r="490" customFormat="false" ht="15" hidden="false" customHeight="false" outlineLevel="0" collapsed="false">
      <c r="A490" s="8" t="n">
        <v>59</v>
      </c>
      <c r="B490" s="8" t="s">
        <v>84</v>
      </c>
      <c r="C490" s="8" t="s">
        <v>380</v>
      </c>
      <c r="D490" s="5" t="s">
        <v>381</v>
      </c>
      <c r="E490" s="9" t="n">
        <v>628</v>
      </c>
      <c r="F490" s="10" t="n">
        <v>49.2</v>
      </c>
      <c r="G490" s="10" t="n">
        <v>24.3</v>
      </c>
      <c r="H490" s="10" t="n">
        <v>57.6</v>
      </c>
      <c r="I490" s="10" t="n">
        <v>22.8</v>
      </c>
    </row>
    <row r="491" customFormat="false" ht="15" hidden="false" customHeight="false" outlineLevel="0" collapsed="false">
      <c r="A491" s="8" t="n">
        <v>59</v>
      </c>
      <c r="B491" s="8" t="s">
        <v>84</v>
      </c>
      <c r="C491" s="8" t="s">
        <v>59</v>
      </c>
      <c r="D491" s="5" t="s">
        <v>81</v>
      </c>
      <c r="E491" s="9" t="n">
        <v>546</v>
      </c>
      <c r="F491" s="10" t="n">
        <v>33</v>
      </c>
      <c r="G491" s="10" t="n">
        <v>6.4</v>
      </c>
      <c r="H491" s="10" t="n">
        <v>88</v>
      </c>
      <c r="I491" s="10" t="n">
        <v>9.5</v>
      </c>
    </row>
    <row r="492" customFormat="false" ht="15" hidden="false" customHeight="false" outlineLevel="0" collapsed="false">
      <c r="A492" s="8" t="n">
        <v>59</v>
      </c>
      <c r="B492" s="8" t="s">
        <v>84</v>
      </c>
      <c r="C492" s="8" t="s">
        <v>474</v>
      </c>
      <c r="D492" s="5" t="s">
        <v>475</v>
      </c>
      <c r="E492" s="9" t="n">
        <v>1107</v>
      </c>
      <c r="F492" s="10" t="n">
        <v>58.7</v>
      </c>
      <c r="G492" s="10" t="n">
        <v>38.2</v>
      </c>
      <c r="H492" s="10" t="n">
        <v>136.8</v>
      </c>
      <c r="I492" s="10" t="n">
        <v>21.5</v>
      </c>
    </row>
    <row r="493" customFormat="false" ht="15" hidden="false" customHeight="false" outlineLevel="0" collapsed="false">
      <c r="A493" s="8" t="n">
        <v>59</v>
      </c>
      <c r="B493" s="8" t="s">
        <v>84</v>
      </c>
      <c r="C493" s="8" t="s">
        <v>61</v>
      </c>
      <c r="D493" s="5" t="s">
        <v>100</v>
      </c>
      <c r="E493" s="9" t="n">
        <v>439</v>
      </c>
      <c r="F493" s="10" t="n">
        <v>16.3</v>
      </c>
      <c r="G493" s="10" t="n">
        <v>16.4</v>
      </c>
      <c r="H493" s="10" t="n">
        <v>58.1</v>
      </c>
      <c r="I493" s="10" t="n">
        <v>3.2</v>
      </c>
    </row>
    <row r="494" customFormat="false" ht="15" hidden="false" customHeight="false" outlineLevel="0" collapsed="false">
      <c r="A494" s="8" t="n">
        <v>59</v>
      </c>
      <c r="B494" s="8" t="s">
        <v>84</v>
      </c>
      <c r="C494" s="8" t="s">
        <v>62</v>
      </c>
      <c r="D494" s="5" t="s">
        <v>232</v>
      </c>
      <c r="E494" s="9" t="n">
        <v>302</v>
      </c>
      <c r="F494" s="10" t="n">
        <v>4.4</v>
      </c>
      <c r="G494" s="10" t="n">
        <v>6</v>
      </c>
      <c r="H494" s="10" t="n">
        <v>58.5</v>
      </c>
      <c r="I494" s="10" t="n">
        <v>1</v>
      </c>
    </row>
    <row r="495" customFormat="false" ht="15" hidden="false" customHeight="false" outlineLevel="0" collapsed="false">
      <c r="A495" s="3"/>
      <c r="B495" s="3"/>
      <c r="C495" s="15" t="s">
        <v>243</v>
      </c>
      <c r="D495" s="15" t="s">
        <v>476</v>
      </c>
      <c r="E495" s="16" t="n">
        <f aca="false">SUM(E488:E494)</f>
        <v>4071</v>
      </c>
      <c r="F495" s="17" t="n">
        <f aca="false">SUM(F488:F494)</f>
        <v>201.1</v>
      </c>
      <c r="G495" s="17" t="n">
        <f aca="false">SUM(G488:G494)</f>
        <v>110.8</v>
      </c>
      <c r="H495" s="17" t="n">
        <f aca="false">SUM(H488:H494)</f>
        <v>580.3</v>
      </c>
      <c r="I495" s="17" t="n">
        <f aca="false">SUM(I488:I494)</f>
        <v>74.6</v>
      </c>
    </row>
    <row r="497" customFormat="false" ht="15" hidden="false" customHeight="false" outlineLevel="0" collapsed="false">
      <c r="A497" s="8" t="n">
        <v>60</v>
      </c>
      <c r="B497" s="8" t="s">
        <v>91</v>
      </c>
      <c r="C497" s="8" t="s">
        <v>56</v>
      </c>
      <c r="D497" s="5" t="s">
        <v>85</v>
      </c>
      <c r="E497" s="9" t="n">
        <v>687</v>
      </c>
      <c r="F497" s="10" t="n">
        <v>43</v>
      </c>
      <c r="G497" s="10" t="n">
        <v>17.3</v>
      </c>
      <c r="H497" s="10" t="n">
        <v>92.7</v>
      </c>
      <c r="I497" s="10" t="n">
        <v>5.5</v>
      </c>
    </row>
    <row r="498" customFormat="false" ht="15" hidden="false" customHeight="false" outlineLevel="0" collapsed="false">
      <c r="A498" s="8" t="n">
        <v>60</v>
      </c>
      <c r="B498" s="8" t="s">
        <v>91</v>
      </c>
      <c r="C498" s="8" t="s">
        <v>57</v>
      </c>
      <c r="D498" s="5" t="s">
        <v>79</v>
      </c>
      <c r="E498" s="9" t="n">
        <v>419</v>
      </c>
      <c r="F498" s="10" t="n">
        <v>5.3</v>
      </c>
      <c r="G498" s="10" t="n">
        <v>1.4</v>
      </c>
      <c r="H498" s="10" t="n">
        <v>100.7</v>
      </c>
      <c r="I498" s="10" t="n">
        <v>4.7</v>
      </c>
    </row>
    <row r="499" customFormat="false" ht="15" hidden="false" customHeight="false" outlineLevel="0" collapsed="false">
      <c r="A499" s="8" t="n">
        <v>60</v>
      </c>
      <c r="B499" s="8" t="s">
        <v>91</v>
      </c>
      <c r="C499" s="8" t="s">
        <v>385</v>
      </c>
      <c r="D499" s="5" t="s">
        <v>386</v>
      </c>
      <c r="E499" s="9" t="n">
        <v>845</v>
      </c>
      <c r="F499" s="10" t="n">
        <v>43.4</v>
      </c>
      <c r="G499" s="10" t="n">
        <v>28.2</v>
      </c>
      <c r="H499" s="10" t="n">
        <v>94</v>
      </c>
      <c r="I499" s="10" t="n">
        <v>17.1</v>
      </c>
    </row>
    <row r="500" customFormat="false" ht="15" hidden="false" customHeight="false" outlineLevel="0" collapsed="false">
      <c r="A500" s="8" t="n">
        <v>60</v>
      </c>
      <c r="B500" s="8" t="s">
        <v>91</v>
      </c>
      <c r="C500" s="8" t="s">
        <v>59</v>
      </c>
      <c r="D500" s="5" t="s">
        <v>87</v>
      </c>
      <c r="E500" s="9" t="n">
        <v>484</v>
      </c>
      <c r="F500" s="10" t="n">
        <v>28.1</v>
      </c>
      <c r="G500" s="10" t="n">
        <v>5.5</v>
      </c>
      <c r="H500" s="10" t="n">
        <v>82.7</v>
      </c>
      <c r="I500" s="10" t="n">
        <v>3.5</v>
      </c>
    </row>
    <row r="501" customFormat="false" ht="15" hidden="false" customHeight="false" outlineLevel="0" collapsed="false">
      <c r="A501" s="8" t="n">
        <v>60</v>
      </c>
      <c r="B501" s="8" t="s">
        <v>91</v>
      </c>
      <c r="C501" s="8" t="s">
        <v>477</v>
      </c>
      <c r="D501" s="5" t="s">
        <v>478</v>
      </c>
      <c r="E501" s="9" t="n">
        <v>1089</v>
      </c>
      <c r="F501" s="10" t="n">
        <v>64.3</v>
      </c>
      <c r="G501" s="10" t="n">
        <v>20.7</v>
      </c>
      <c r="H501" s="10" t="n">
        <v>155.5</v>
      </c>
      <c r="I501" s="10" t="n">
        <v>10.4</v>
      </c>
    </row>
    <row r="502" customFormat="false" ht="15" hidden="false" customHeight="false" outlineLevel="0" collapsed="false">
      <c r="A502" s="8" t="n">
        <v>60</v>
      </c>
      <c r="B502" s="8" t="s">
        <v>91</v>
      </c>
      <c r="C502" s="8" t="s">
        <v>61</v>
      </c>
      <c r="D502" s="5" t="s">
        <v>105</v>
      </c>
      <c r="E502" s="9" t="n">
        <v>279</v>
      </c>
      <c r="F502" s="10" t="n">
        <v>25.6</v>
      </c>
      <c r="G502" s="10" t="n">
        <v>2</v>
      </c>
      <c r="H502" s="10" t="n">
        <v>42.2</v>
      </c>
      <c r="I502" s="10" t="n">
        <v>2.7</v>
      </c>
    </row>
    <row r="503" customFormat="false" ht="15" hidden="false" customHeight="false" outlineLevel="0" collapsed="false">
      <c r="A503" s="8" t="n">
        <v>60</v>
      </c>
      <c r="B503" s="8" t="s">
        <v>91</v>
      </c>
      <c r="C503" s="8" t="s">
        <v>62</v>
      </c>
      <c r="D503" s="5" t="s">
        <v>234</v>
      </c>
      <c r="E503" s="9" t="n">
        <v>187</v>
      </c>
      <c r="F503" s="10" t="n">
        <v>6.7</v>
      </c>
      <c r="G503" s="10" t="n">
        <v>12.4</v>
      </c>
      <c r="H503" s="10" t="n">
        <v>14</v>
      </c>
      <c r="I503" s="10" t="n">
        <v>2.7</v>
      </c>
    </row>
    <row r="504" customFormat="false" ht="15" hidden="false" customHeight="false" outlineLevel="0" collapsed="false">
      <c r="A504" s="3"/>
      <c r="B504" s="3"/>
      <c r="C504" s="15" t="s">
        <v>243</v>
      </c>
      <c r="D504" s="15" t="s">
        <v>479</v>
      </c>
      <c r="E504" s="16" t="n">
        <f aca="false">SUM(E497:E503)</f>
        <v>3990</v>
      </c>
      <c r="F504" s="17" t="n">
        <f aca="false">SUM(F497:F503)</f>
        <v>216.4</v>
      </c>
      <c r="G504" s="17" t="n">
        <f aca="false">SUM(G497:G503)</f>
        <v>87.5</v>
      </c>
      <c r="H504" s="17" t="n">
        <f aca="false">SUM(H497:H503)</f>
        <v>581.8</v>
      </c>
      <c r="I504" s="17" t="n">
        <f aca="false">SUM(I497:I503)</f>
        <v>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34"/>
    <col collapsed="false" customWidth="true" hidden="false" outlineLevel="0" max="4" min="4" style="0" width="8"/>
    <col collapsed="false" customWidth="true" hidden="false" outlineLevel="0" max="5" min="5" style="0" width="9"/>
    <col collapsed="false" customWidth="true" hidden="false" outlineLevel="0" max="6" min="6" style="0" width="10"/>
    <col collapsed="false" customWidth="true" hidden="false" outlineLevel="0" max="8" min="7" style="0" width="9"/>
  </cols>
  <sheetData>
    <row r="1" customFormat="false" ht="15" hidden="false" customHeight="false" outlineLevel="0" collapsed="false">
      <c r="A1" s="6" t="s">
        <v>480</v>
      </c>
      <c r="B1" s="6" t="s">
        <v>481</v>
      </c>
      <c r="C1" s="6" t="s">
        <v>482</v>
      </c>
      <c r="D1" s="6" t="s">
        <v>483</v>
      </c>
      <c r="E1" s="6" t="s">
        <v>63</v>
      </c>
      <c r="F1" s="6" t="s">
        <v>64</v>
      </c>
      <c r="G1" s="6" t="s">
        <v>65</v>
      </c>
      <c r="H1" s="6" t="s">
        <v>66</v>
      </c>
    </row>
    <row r="2" customFormat="false" ht="15" hidden="false" customHeight="false" outlineLevel="0" collapsed="false">
      <c r="A2" s="8" t="s">
        <v>484</v>
      </c>
      <c r="B2" s="5" t="s">
        <v>242</v>
      </c>
      <c r="C2" s="5" t="s">
        <v>485</v>
      </c>
      <c r="D2" s="8" t="n">
        <v>145</v>
      </c>
      <c r="E2" s="9" t="n">
        <v>239</v>
      </c>
      <c r="F2" s="10" t="n">
        <v>45</v>
      </c>
      <c r="G2" s="10" t="n">
        <v>5.2</v>
      </c>
      <c r="H2" s="10" t="n">
        <v>0</v>
      </c>
    </row>
    <row r="3" customFormat="false" ht="15" hidden="false" customHeight="false" outlineLevel="0" collapsed="false">
      <c r="A3" s="8"/>
      <c r="B3" s="5"/>
      <c r="C3" s="5" t="s">
        <v>486</v>
      </c>
      <c r="D3" s="8" t="n">
        <v>440</v>
      </c>
      <c r="E3" s="9" t="n">
        <v>572</v>
      </c>
      <c r="F3" s="10" t="n">
        <v>11.9</v>
      </c>
      <c r="G3" s="10" t="n">
        <v>1.3</v>
      </c>
      <c r="H3" s="10" t="n">
        <v>124.1</v>
      </c>
    </row>
    <row r="4" customFormat="false" ht="15" hidden="false" customHeight="false" outlineLevel="0" collapsed="false">
      <c r="A4" s="8"/>
      <c r="B4" s="5"/>
      <c r="C4" s="5" t="s">
        <v>487</v>
      </c>
      <c r="D4" s="8" t="n">
        <v>200</v>
      </c>
      <c r="E4" s="9" t="n">
        <v>70</v>
      </c>
      <c r="F4" s="10" t="n">
        <v>4.8</v>
      </c>
      <c r="G4" s="10" t="n">
        <v>0.8</v>
      </c>
      <c r="H4" s="10" t="n">
        <v>14.4</v>
      </c>
    </row>
    <row r="5" customFormat="false" ht="15" hidden="false" customHeight="false" outlineLevel="0" collapsed="false">
      <c r="A5" s="8"/>
      <c r="B5" s="5"/>
      <c r="C5" s="5" t="s">
        <v>488</v>
      </c>
      <c r="D5" s="8" t="n">
        <v>20</v>
      </c>
      <c r="E5" s="9" t="n">
        <v>61</v>
      </c>
      <c r="F5" s="10" t="n">
        <v>0.1</v>
      </c>
      <c r="G5" s="10" t="n">
        <v>0</v>
      </c>
      <c r="H5" s="10" t="n">
        <v>16.5</v>
      </c>
    </row>
    <row r="6" customFormat="false" ht="15" hidden="false" customHeight="false" outlineLevel="0" collapsed="false">
      <c r="A6" s="8"/>
      <c r="B6" s="5"/>
      <c r="C6" s="5" t="s">
        <v>489</v>
      </c>
      <c r="D6" s="8" t="n">
        <v>10</v>
      </c>
      <c r="E6" s="9" t="n">
        <v>88</v>
      </c>
      <c r="F6" s="10" t="n">
        <v>0</v>
      </c>
      <c r="G6" s="10" t="n">
        <v>10</v>
      </c>
      <c r="H6" s="10" t="n">
        <v>0</v>
      </c>
    </row>
    <row r="7" customFormat="false" ht="15" hidden="false" customHeight="false" outlineLevel="0" collapsed="false">
      <c r="A7" s="8"/>
      <c r="B7" s="5"/>
      <c r="C7" s="5" t="s">
        <v>490</v>
      </c>
      <c r="D7" s="8" t="n">
        <v>5</v>
      </c>
      <c r="E7" s="9" t="n">
        <v>7</v>
      </c>
      <c r="F7" s="10" t="n">
        <v>0.3</v>
      </c>
      <c r="G7" s="10" t="n">
        <v>0</v>
      </c>
      <c r="H7" s="10" t="n">
        <v>1.7</v>
      </c>
    </row>
    <row r="8" customFormat="false" ht="15" hidden="false" customHeight="false" outlineLevel="0" collapsed="false">
      <c r="A8" s="8"/>
      <c r="B8" s="5"/>
      <c r="C8" s="5" t="s">
        <v>491</v>
      </c>
      <c r="D8" s="8" t="n">
        <v>3</v>
      </c>
      <c r="E8" s="9" t="n">
        <v>8</v>
      </c>
      <c r="F8" s="10" t="n">
        <v>0.3</v>
      </c>
      <c r="G8" s="10" t="n">
        <v>0.1</v>
      </c>
      <c r="H8" s="10" t="n">
        <v>1.4</v>
      </c>
    </row>
    <row r="9" customFormat="false" ht="15" hidden="false" customHeight="false" outlineLevel="0" collapsed="false">
      <c r="A9" s="8"/>
      <c r="B9" s="5"/>
      <c r="C9" s="5" t="s">
        <v>492</v>
      </c>
      <c r="D9" s="8" t="n">
        <v>100</v>
      </c>
      <c r="E9" s="9" t="n">
        <v>35</v>
      </c>
      <c r="F9" s="10" t="n">
        <v>0.8</v>
      </c>
      <c r="G9" s="10" t="n">
        <v>0.2</v>
      </c>
      <c r="H9" s="10" t="n">
        <v>8.2</v>
      </c>
    </row>
    <row r="10" customFormat="false" ht="15" hidden="false" customHeight="false" outlineLevel="0" collapsed="false">
      <c r="A10" s="3"/>
      <c r="B10" s="3"/>
      <c r="C10" s="15" t="s">
        <v>493</v>
      </c>
      <c r="D10" s="3"/>
      <c r="E10" s="16" t="n">
        <f aca="false">SUM(E2:E9)</f>
        <v>1080</v>
      </c>
      <c r="F10" s="17" t="n">
        <f aca="false">SUM(F2:F9)</f>
        <v>63.2</v>
      </c>
      <c r="G10" s="17" t="n">
        <f aca="false">SUM(G2:G9)</f>
        <v>17.6</v>
      </c>
      <c r="H10" s="17" t="n">
        <f aca="false">SUM(H2:H9)</f>
        <v>166.3</v>
      </c>
    </row>
    <row r="12" customFormat="false" ht="15" hidden="false" customHeight="false" outlineLevel="0" collapsed="false">
      <c r="A12" s="8" t="s">
        <v>494</v>
      </c>
      <c r="B12" s="5" t="s">
        <v>248</v>
      </c>
      <c r="C12" s="5" t="s">
        <v>495</v>
      </c>
      <c r="D12" s="8" t="n">
        <v>420</v>
      </c>
      <c r="E12" s="9" t="n">
        <v>664</v>
      </c>
      <c r="F12" s="10" t="n">
        <v>24.4</v>
      </c>
      <c r="G12" s="10" t="n">
        <v>3.8</v>
      </c>
      <c r="H12" s="10" t="n">
        <v>129.8</v>
      </c>
    </row>
    <row r="13" customFormat="false" ht="15" hidden="false" customHeight="false" outlineLevel="0" collapsed="false">
      <c r="A13" s="8"/>
      <c r="B13" s="5"/>
      <c r="C13" s="5" t="s">
        <v>496</v>
      </c>
      <c r="D13" s="8" t="n">
        <v>85</v>
      </c>
      <c r="E13" s="9" t="n">
        <v>153</v>
      </c>
      <c r="F13" s="10" t="n">
        <v>22.1</v>
      </c>
      <c r="G13" s="10" t="n">
        <v>6.8</v>
      </c>
      <c r="H13" s="10" t="n">
        <v>0</v>
      </c>
    </row>
    <row r="14" customFormat="false" ht="15" hidden="false" customHeight="false" outlineLevel="0" collapsed="false">
      <c r="A14" s="8"/>
      <c r="B14" s="5"/>
      <c r="C14" s="5" t="s">
        <v>497</v>
      </c>
      <c r="D14" s="8" t="n">
        <v>65</v>
      </c>
      <c r="E14" s="9" t="n">
        <v>166</v>
      </c>
      <c r="F14" s="10" t="n">
        <v>14.3</v>
      </c>
      <c r="G14" s="10" t="n">
        <v>11.1</v>
      </c>
      <c r="H14" s="10" t="n">
        <v>2.6</v>
      </c>
    </row>
    <row r="15" customFormat="false" ht="15" hidden="false" customHeight="false" outlineLevel="0" collapsed="false">
      <c r="A15" s="8"/>
      <c r="B15" s="5"/>
      <c r="C15" s="5" t="s">
        <v>498</v>
      </c>
      <c r="D15" s="8" t="n">
        <v>150</v>
      </c>
      <c r="E15" s="9" t="n">
        <v>123</v>
      </c>
      <c r="F15" s="10" t="n">
        <v>6.5</v>
      </c>
      <c r="G15" s="10" t="n">
        <v>0.8</v>
      </c>
      <c r="H15" s="10" t="n">
        <v>28.4</v>
      </c>
    </row>
    <row r="16" customFormat="false" ht="15" hidden="false" customHeight="false" outlineLevel="0" collapsed="false">
      <c r="A16" s="8"/>
      <c r="B16" s="5"/>
      <c r="C16" s="5" t="s">
        <v>499</v>
      </c>
      <c r="D16" s="8" t="n">
        <v>50</v>
      </c>
      <c r="E16" s="9" t="n">
        <v>28</v>
      </c>
      <c r="F16" s="10" t="n">
        <v>0.6</v>
      </c>
      <c r="G16" s="10" t="n">
        <v>1.2</v>
      </c>
      <c r="H16" s="10" t="n">
        <v>3.8</v>
      </c>
    </row>
    <row r="17" customFormat="false" ht="15" hidden="false" customHeight="false" outlineLevel="0" collapsed="false">
      <c r="A17" s="8"/>
      <c r="B17" s="5"/>
      <c r="C17" s="5" t="s">
        <v>500</v>
      </c>
      <c r="D17" s="8" t="n">
        <v>20</v>
      </c>
      <c r="E17" s="9" t="n">
        <v>78</v>
      </c>
      <c r="F17" s="10" t="n">
        <v>7.2</v>
      </c>
      <c r="G17" s="10" t="n">
        <v>5.2</v>
      </c>
      <c r="H17" s="10" t="n">
        <v>0.6</v>
      </c>
    </row>
    <row r="18" customFormat="false" ht="15" hidden="false" customHeight="false" outlineLevel="0" collapsed="false">
      <c r="A18" s="8"/>
      <c r="B18" s="5"/>
      <c r="C18" s="5" t="s">
        <v>489</v>
      </c>
      <c r="D18" s="8" t="n">
        <v>8</v>
      </c>
      <c r="E18" s="9" t="n">
        <v>71</v>
      </c>
      <c r="F18" s="10" t="n">
        <v>0</v>
      </c>
      <c r="G18" s="10" t="n">
        <v>8</v>
      </c>
      <c r="H18" s="10" t="n">
        <v>0</v>
      </c>
    </row>
    <row r="19" customFormat="false" ht="15" hidden="false" customHeight="false" outlineLevel="0" collapsed="false">
      <c r="A19" s="8"/>
      <c r="B19" s="5"/>
      <c r="C19" s="5" t="s">
        <v>492</v>
      </c>
      <c r="D19" s="8" t="n">
        <v>100</v>
      </c>
      <c r="E19" s="9" t="n">
        <v>35</v>
      </c>
      <c r="F19" s="10" t="n">
        <v>0.8</v>
      </c>
      <c r="G19" s="10" t="n">
        <v>0.2</v>
      </c>
      <c r="H19" s="10" t="n">
        <v>8.2</v>
      </c>
    </row>
    <row r="20" customFormat="false" ht="15" hidden="false" customHeight="false" outlineLevel="0" collapsed="false">
      <c r="A20" s="3"/>
      <c r="B20" s="3"/>
      <c r="C20" s="15" t="s">
        <v>493</v>
      </c>
      <c r="D20" s="3"/>
      <c r="E20" s="16" t="n">
        <f aca="false">SUM(E12:E19)</f>
        <v>1318</v>
      </c>
      <c r="F20" s="17" t="n">
        <f aca="false">SUM(F12:F19)</f>
        <v>75.9</v>
      </c>
      <c r="G20" s="17" t="n">
        <f aca="false">SUM(G12:G19)</f>
        <v>37.1</v>
      </c>
      <c r="H20" s="17" t="n">
        <f aca="false">SUM(H12:H19)</f>
        <v>173.4</v>
      </c>
    </row>
    <row r="22" customFormat="false" ht="23.85" hidden="false" customHeight="false" outlineLevel="0" collapsed="false">
      <c r="A22" s="8" t="s">
        <v>501</v>
      </c>
      <c r="B22" s="5" t="s">
        <v>253</v>
      </c>
      <c r="C22" s="5" t="s">
        <v>502</v>
      </c>
      <c r="D22" s="8" t="n">
        <v>135</v>
      </c>
      <c r="E22" s="9" t="n">
        <v>286</v>
      </c>
      <c r="F22" s="10" t="n">
        <v>41.9</v>
      </c>
      <c r="G22" s="10" t="n">
        <v>12.8</v>
      </c>
      <c r="H22" s="10" t="n">
        <v>0</v>
      </c>
    </row>
    <row r="23" customFormat="false" ht="15" hidden="false" customHeight="false" outlineLevel="0" collapsed="false">
      <c r="A23" s="8"/>
      <c r="B23" s="5"/>
      <c r="C23" s="5" t="s">
        <v>503</v>
      </c>
      <c r="D23" s="8" t="n">
        <v>500</v>
      </c>
      <c r="E23" s="9" t="n">
        <v>500</v>
      </c>
      <c r="F23" s="10" t="n">
        <v>10</v>
      </c>
      <c r="G23" s="10" t="n">
        <v>7.5</v>
      </c>
      <c r="H23" s="10" t="n">
        <v>100</v>
      </c>
    </row>
    <row r="24" customFormat="false" ht="15" hidden="false" customHeight="false" outlineLevel="0" collapsed="false">
      <c r="A24" s="8"/>
      <c r="B24" s="5"/>
      <c r="C24" s="5" t="s">
        <v>504</v>
      </c>
      <c r="D24" s="8" t="n">
        <v>180</v>
      </c>
      <c r="E24" s="9" t="n">
        <v>63</v>
      </c>
      <c r="F24" s="10" t="n">
        <v>3.4</v>
      </c>
      <c r="G24" s="10" t="n">
        <v>0.5</v>
      </c>
      <c r="H24" s="10" t="n">
        <v>14.2</v>
      </c>
    </row>
    <row r="25" customFormat="false" ht="15" hidden="false" customHeight="false" outlineLevel="0" collapsed="false">
      <c r="A25" s="8"/>
      <c r="B25" s="5"/>
      <c r="C25" s="5" t="s">
        <v>505</v>
      </c>
      <c r="D25" s="8" t="n">
        <v>8</v>
      </c>
      <c r="E25" s="9" t="n">
        <v>57</v>
      </c>
      <c r="F25" s="10" t="n">
        <v>0.1</v>
      </c>
      <c r="G25" s="10" t="n">
        <v>6.5</v>
      </c>
      <c r="H25" s="10" t="n">
        <v>0</v>
      </c>
    </row>
    <row r="26" customFormat="false" ht="15" hidden="false" customHeight="false" outlineLevel="0" collapsed="false">
      <c r="A26" s="8"/>
      <c r="B26" s="5"/>
      <c r="C26" s="5" t="s">
        <v>489</v>
      </c>
      <c r="D26" s="8" t="n">
        <v>5</v>
      </c>
      <c r="E26" s="9" t="n">
        <v>44</v>
      </c>
      <c r="F26" s="10" t="n">
        <v>0</v>
      </c>
      <c r="G26" s="10" t="n">
        <v>5</v>
      </c>
      <c r="H26" s="10" t="n">
        <v>0</v>
      </c>
    </row>
    <row r="27" customFormat="false" ht="15" hidden="false" customHeight="false" outlineLevel="0" collapsed="false">
      <c r="A27" s="3"/>
      <c r="B27" s="3"/>
      <c r="C27" s="15" t="s">
        <v>493</v>
      </c>
      <c r="D27" s="3"/>
      <c r="E27" s="16" t="n">
        <f aca="false">SUM(E22:E26)</f>
        <v>950</v>
      </c>
      <c r="F27" s="17" t="n">
        <f aca="false">SUM(F22:F26)</f>
        <v>55.4</v>
      </c>
      <c r="G27" s="17" t="n">
        <f aca="false">SUM(G22:G26)</f>
        <v>32.3</v>
      </c>
      <c r="H27" s="17" t="n">
        <f aca="false">SUM(H22:H26)</f>
        <v>114.2</v>
      </c>
    </row>
    <row r="29" customFormat="false" ht="15" hidden="false" customHeight="false" outlineLevel="0" collapsed="false">
      <c r="A29" s="8" t="s">
        <v>506</v>
      </c>
      <c r="B29" s="5" t="s">
        <v>258</v>
      </c>
      <c r="C29" s="5" t="s">
        <v>485</v>
      </c>
      <c r="D29" s="8" t="n">
        <v>135</v>
      </c>
      <c r="E29" s="9" t="n">
        <v>223</v>
      </c>
      <c r="F29" s="10" t="n">
        <v>41.9</v>
      </c>
      <c r="G29" s="10" t="n">
        <v>4.9</v>
      </c>
      <c r="H29" s="10" t="n">
        <v>0</v>
      </c>
    </row>
    <row r="30" customFormat="false" ht="15" hidden="false" customHeight="false" outlineLevel="0" collapsed="false">
      <c r="A30" s="8"/>
      <c r="B30" s="5"/>
      <c r="C30" s="5" t="s">
        <v>507</v>
      </c>
      <c r="D30" s="8" t="n">
        <v>440</v>
      </c>
      <c r="E30" s="9" t="n">
        <v>572</v>
      </c>
      <c r="F30" s="10" t="n">
        <v>11.9</v>
      </c>
      <c r="G30" s="10" t="n">
        <v>1.3</v>
      </c>
      <c r="H30" s="10" t="n">
        <v>123.2</v>
      </c>
    </row>
    <row r="31" customFormat="false" ht="15" hidden="false" customHeight="false" outlineLevel="0" collapsed="false">
      <c r="A31" s="8"/>
      <c r="B31" s="5"/>
      <c r="C31" s="5" t="s">
        <v>508</v>
      </c>
      <c r="D31" s="8" t="n">
        <v>150</v>
      </c>
      <c r="E31" s="9" t="n">
        <v>48</v>
      </c>
      <c r="F31" s="10" t="n">
        <v>2.4</v>
      </c>
      <c r="G31" s="10" t="n">
        <v>0.5</v>
      </c>
      <c r="H31" s="10" t="n">
        <v>10.5</v>
      </c>
    </row>
    <row r="32" customFormat="false" ht="15" hidden="false" customHeight="false" outlineLevel="0" collapsed="false">
      <c r="A32" s="8"/>
      <c r="B32" s="5"/>
      <c r="C32" s="5" t="s">
        <v>509</v>
      </c>
      <c r="D32" s="8" t="n">
        <v>50</v>
      </c>
      <c r="E32" s="9" t="n">
        <v>98</v>
      </c>
      <c r="F32" s="10" t="n">
        <v>1</v>
      </c>
      <c r="G32" s="10" t="n">
        <v>10.5</v>
      </c>
      <c r="H32" s="10" t="n">
        <v>1.4</v>
      </c>
    </row>
    <row r="33" customFormat="false" ht="15" hidden="false" customHeight="false" outlineLevel="0" collapsed="false">
      <c r="A33" s="8"/>
      <c r="B33" s="5"/>
      <c r="C33" s="5" t="s">
        <v>510</v>
      </c>
      <c r="D33" s="8" t="n">
        <v>25</v>
      </c>
      <c r="E33" s="9" t="n">
        <v>38</v>
      </c>
      <c r="F33" s="10" t="n">
        <v>0.8</v>
      </c>
      <c r="G33" s="10" t="n">
        <v>2</v>
      </c>
      <c r="H33" s="10" t="n">
        <v>3.8</v>
      </c>
    </row>
    <row r="34" customFormat="false" ht="15" hidden="false" customHeight="false" outlineLevel="0" collapsed="false">
      <c r="A34" s="8"/>
      <c r="B34" s="5"/>
      <c r="C34" s="5" t="s">
        <v>499</v>
      </c>
      <c r="D34" s="8" t="n">
        <v>50</v>
      </c>
      <c r="E34" s="9" t="n">
        <v>28</v>
      </c>
      <c r="F34" s="10" t="n">
        <v>0.6</v>
      </c>
      <c r="G34" s="10" t="n">
        <v>1.2</v>
      </c>
      <c r="H34" s="10" t="n">
        <v>3.8</v>
      </c>
    </row>
    <row r="35" customFormat="false" ht="15" hidden="false" customHeight="false" outlineLevel="0" collapsed="false">
      <c r="A35" s="8"/>
      <c r="B35" s="5"/>
      <c r="C35" s="5" t="s">
        <v>492</v>
      </c>
      <c r="D35" s="8" t="n">
        <v>100</v>
      </c>
      <c r="E35" s="9" t="n">
        <v>35</v>
      </c>
      <c r="F35" s="10" t="n">
        <v>0.8</v>
      </c>
      <c r="G35" s="10" t="n">
        <v>0.2</v>
      </c>
      <c r="H35" s="10" t="n">
        <v>8.2</v>
      </c>
    </row>
    <row r="36" customFormat="false" ht="15" hidden="false" customHeight="false" outlineLevel="0" collapsed="false">
      <c r="A36" s="3"/>
      <c r="B36" s="3"/>
      <c r="C36" s="15" t="s">
        <v>493</v>
      </c>
      <c r="D36" s="3"/>
      <c r="E36" s="16" t="n">
        <f aca="false">SUM(E29:E35)</f>
        <v>1042</v>
      </c>
      <c r="F36" s="17" t="n">
        <f aca="false">SUM(F29:F35)</f>
        <v>59.4</v>
      </c>
      <c r="G36" s="17" t="n">
        <f aca="false">SUM(G29:G35)</f>
        <v>20.6</v>
      </c>
      <c r="H36" s="17" t="n">
        <f aca="false">SUM(H29:H35)</f>
        <v>150.9</v>
      </c>
    </row>
    <row r="38" customFormat="false" ht="15" hidden="false" customHeight="false" outlineLevel="0" collapsed="false">
      <c r="A38" s="8" t="s">
        <v>511</v>
      </c>
      <c r="B38" s="5" t="s">
        <v>263</v>
      </c>
      <c r="C38" s="5" t="s">
        <v>485</v>
      </c>
      <c r="D38" s="8" t="n">
        <v>145</v>
      </c>
      <c r="E38" s="9" t="n">
        <v>239</v>
      </c>
      <c r="F38" s="10" t="n">
        <v>45</v>
      </c>
      <c r="G38" s="10" t="n">
        <v>5.2</v>
      </c>
      <c r="H38" s="10" t="n">
        <v>0</v>
      </c>
    </row>
    <row r="39" customFormat="false" ht="15" hidden="false" customHeight="false" outlineLevel="0" collapsed="false">
      <c r="A39" s="8"/>
      <c r="B39" s="5"/>
      <c r="C39" s="5" t="s">
        <v>512</v>
      </c>
      <c r="D39" s="8" t="n">
        <v>400</v>
      </c>
      <c r="E39" s="9" t="n">
        <v>480</v>
      </c>
      <c r="F39" s="10" t="n">
        <v>17.6</v>
      </c>
      <c r="G39" s="10" t="n">
        <v>7.6</v>
      </c>
      <c r="H39" s="10" t="n">
        <v>85.2</v>
      </c>
    </row>
    <row r="40" customFormat="false" ht="15" hidden="false" customHeight="false" outlineLevel="0" collapsed="false">
      <c r="A40" s="8"/>
      <c r="B40" s="5"/>
      <c r="C40" s="5" t="s">
        <v>513</v>
      </c>
      <c r="D40" s="8" t="n">
        <v>180</v>
      </c>
      <c r="E40" s="9" t="n">
        <v>56</v>
      </c>
      <c r="F40" s="10" t="n">
        <v>1.8</v>
      </c>
      <c r="G40" s="10" t="n">
        <v>0.5</v>
      </c>
      <c r="H40" s="10" t="n">
        <v>10.8</v>
      </c>
    </row>
    <row r="41" customFormat="false" ht="15" hidden="false" customHeight="false" outlineLevel="0" collapsed="false">
      <c r="A41" s="8"/>
      <c r="B41" s="5"/>
      <c r="C41" s="5" t="s">
        <v>489</v>
      </c>
      <c r="D41" s="8" t="n">
        <v>12</v>
      </c>
      <c r="E41" s="9" t="n">
        <v>106</v>
      </c>
      <c r="F41" s="10" t="n">
        <v>0</v>
      </c>
      <c r="G41" s="10" t="n">
        <v>12</v>
      </c>
      <c r="H41" s="10" t="n">
        <v>0</v>
      </c>
    </row>
    <row r="42" customFormat="false" ht="15" hidden="false" customHeight="false" outlineLevel="0" collapsed="false">
      <c r="A42" s="8"/>
      <c r="B42" s="5"/>
      <c r="C42" s="5" t="s">
        <v>514</v>
      </c>
      <c r="D42" s="8" t="n">
        <v>10</v>
      </c>
      <c r="E42" s="9" t="n">
        <v>2</v>
      </c>
      <c r="F42" s="10" t="n">
        <v>0</v>
      </c>
      <c r="G42" s="10" t="n">
        <v>0</v>
      </c>
      <c r="H42" s="10" t="n">
        <v>0.7</v>
      </c>
    </row>
    <row r="43" customFormat="false" ht="15" hidden="false" customHeight="false" outlineLevel="0" collapsed="false">
      <c r="A43" s="3"/>
      <c r="B43" s="3"/>
      <c r="C43" s="15" t="s">
        <v>493</v>
      </c>
      <c r="D43" s="3"/>
      <c r="E43" s="16" t="n">
        <f aca="false">SUM(E38:E42)</f>
        <v>883</v>
      </c>
      <c r="F43" s="17" t="n">
        <f aca="false">SUM(F38:F42)</f>
        <v>64.4</v>
      </c>
      <c r="G43" s="17" t="n">
        <f aca="false">SUM(G38:G42)</f>
        <v>25.3</v>
      </c>
      <c r="H43" s="17" t="n">
        <f aca="false">SUM(H38:H42)</f>
        <v>96.7</v>
      </c>
    </row>
    <row r="45" customFormat="false" ht="23.85" hidden="false" customHeight="false" outlineLevel="0" collapsed="false">
      <c r="A45" s="8" t="s">
        <v>515</v>
      </c>
      <c r="B45" s="5" t="s">
        <v>268</v>
      </c>
      <c r="C45" s="5" t="s">
        <v>516</v>
      </c>
      <c r="D45" s="8" t="n">
        <v>135</v>
      </c>
      <c r="E45" s="9" t="n">
        <v>263</v>
      </c>
      <c r="F45" s="10" t="n">
        <v>40.5</v>
      </c>
      <c r="G45" s="10" t="n">
        <v>10.8</v>
      </c>
      <c r="H45" s="10" t="n">
        <v>0</v>
      </c>
    </row>
    <row r="46" customFormat="false" ht="15" hidden="false" customHeight="false" outlineLevel="0" collapsed="false">
      <c r="A46" s="8"/>
      <c r="B46" s="5"/>
      <c r="C46" s="5" t="s">
        <v>517</v>
      </c>
      <c r="D46" s="8" t="n">
        <v>500</v>
      </c>
      <c r="E46" s="9" t="n">
        <v>525</v>
      </c>
      <c r="F46" s="10" t="n">
        <v>11.5</v>
      </c>
      <c r="G46" s="10" t="n">
        <v>12.5</v>
      </c>
      <c r="H46" s="10" t="n">
        <v>87.5</v>
      </c>
    </row>
    <row r="47" customFormat="false" ht="15" hidden="false" customHeight="false" outlineLevel="0" collapsed="false">
      <c r="A47" s="8"/>
      <c r="B47" s="5"/>
      <c r="C47" s="5" t="s">
        <v>518</v>
      </c>
      <c r="D47" s="8" t="n">
        <v>180</v>
      </c>
      <c r="E47" s="9" t="n">
        <v>50</v>
      </c>
      <c r="F47" s="10" t="n">
        <v>5.6</v>
      </c>
      <c r="G47" s="10" t="n">
        <v>0.7</v>
      </c>
      <c r="H47" s="10" t="n">
        <v>7.2</v>
      </c>
    </row>
    <row r="48" customFormat="false" ht="15" hidden="false" customHeight="false" outlineLevel="0" collapsed="false">
      <c r="A48" s="8"/>
      <c r="B48" s="5"/>
      <c r="C48" s="5" t="s">
        <v>499</v>
      </c>
      <c r="D48" s="8" t="n">
        <v>40</v>
      </c>
      <c r="E48" s="9" t="n">
        <v>22</v>
      </c>
      <c r="F48" s="10" t="n">
        <v>0.4</v>
      </c>
      <c r="G48" s="10" t="n">
        <v>1</v>
      </c>
      <c r="H48" s="10" t="n">
        <v>3</v>
      </c>
    </row>
    <row r="49" customFormat="false" ht="15" hidden="false" customHeight="false" outlineLevel="0" collapsed="false">
      <c r="A49" s="8"/>
      <c r="B49" s="5"/>
      <c r="C49" s="5" t="s">
        <v>489</v>
      </c>
      <c r="D49" s="8" t="n">
        <v>8</v>
      </c>
      <c r="E49" s="9" t="n">
        <v>71</v>
      </c>
      <c r="F49" s="10" t="n">
        <v>0</v>
      </c>
      <c r="G49" s="10" t="n">
        <v>8</v>
      </c>
      <c r="H49" s="10" t="n">
        <v>0</v>
      </c>
    </row>
    <row r="50" customFormat="false" ht="15" hidden="false" customHeight="false" outlineLevel="0" collapsed="false">
      <c r="A50" s="8"/>
      <c r="B50" s="5"/>
      <c r="C50" s="5" t="s">
        <v>492</v>
      </c>
      <c r="D50" s="8" t="n">
        <v>100</v>
      </c>
      <c r="E50" s="9" t="n">
        <v>35</v>
      </c>
      <c r="F50" s="10" t="n">
        <v>0.8</v>
      </c>
      <c r="G50" s="10" t="n">
        <v>0.2</v>
      </c>
      <c r="H50" s="10" t="n">
        <v>8.2</v>
      </c>
    </row>
    <row r="51" customFormat="false" ht="15" hidden="false" customHeight="false" outlineLevel="0" collapsed="false">
      <c r="A51" s="3"/>
      <c r="B51" s="3"/>
      <c r="C51" s="15" t="s">
        <v>493</v>
      </c>
      <c r="D51" s="3"/>
      <c r="E51" s="16" t="n">
        <f aca="false">SUM(E45:E50)</f>
        <v>966</v>
      </c>
      <c r="F51" s="17" t="n">
        <f aca="false">SUM(F45:F50)</f>
        <v>58.8</v>
      </c>
      <c r="G51" s="17" t="n">
        <f aca="false">SUM(G45:G50)</f>
        <v>33.2</v>
      </c>
      <c r="H51" s="17" t="n">
        <f aca="false">SUM(H45:H50)</f>
        <v>105.9</v>
      </c>
    </row>
    <row r="53" customFormat="false" ht="15" hidden="false" customHeight="false" outlineLevel="0" collapsed="false">
      <c r="A53" s="8" t="s">
        <v>519</v>
      </c>
      <c r="B53" s="5" t="s">
        <v>273</v>
      </c>
      <c r="C53" s="5" t="s">
        <v>520</v>
      </c>
      <c r="D53" s="8" t="n">
        <v>150</v>
      </c>
      <c r="E53" s="9" t="n">
        <v>324</v>
      </c>
      <c r="F53" s="10" t="n">
        <v>36</v>
      </c>
      <c r="G53" s="10" t="n">
        <v>19.5</v>
      </c>
      <c r="H53" s="10" t="n">
        <v>0</v>
      </c>
    </row>
    <row r="54" customFormat="false" ht="15" hidden="false" customHeight="false" outlineLevel="0" collapsed="false">
      <c r="A54" s="8"/>
      <c r="B54" s="5"/>
      <c r="C54" s="5" t="s">
        <v>521</v>
      </c>
      <c r="D54" s="8" t="n">
        <v>440</v>
      </c>
      <c r="E54" s="9" t="n">
        <v>493</v>
      </c>
      <c r="F54" s="10" t="n">
        <v>16.7</v>
      </c>
      <c r="G54" s="10" t="n">
        <v>0.9</v>
      </c>
      <c r="H54" s="10" t="n">
        <v>102.1</v>
      </c>
    </row>
    <row r="55" customFormat="false" ht="15" hidden="false" customHeight="false" outlineLevel="0" collapsed="false">
      <c r="A55" s="8"/>
      <c r="B55" s="5"/>
      <c r="C55" s="5" t="s">
        <v>522</v>
      </c>
      <c r="D55" s="8" t="n">
        <v>200</v>
      </c>
      <c r="E55" s="9" t="n">
        <v>90</v>
      </c>
      <c r="F55" s="10" t="n">
        <v>3</v>
      </c>
      <c r="G55" s="10" t="n">
        <v>3</v>
      </c>
      <c r="H55" s="10" t="n">
        <v>13</v>
      </c>
    </row>
    <row r="56" customFormat="false" ht="15" hidden="false" customHeight="false" outlineLevel="0" collapsed="false">
      <c r="A56" s="8"/>
      <c r="B56" s="5"/>
      <c r="C56" s="5" t="s">
        <v>489</v>
      </c>
      <c r="D56" s="8" t="n">
        <v>8</v>
      </c>
      <c r="E56" s="9" t="n">
        <v>71</v>
      </c>
      <c r="F56" s="10" t="n">
        <v>0</v>
      </c>
      <c r="G56" s="10" t="n">
        <v>8</v>
      </c>
      <c r="H56" s="10" t="n">
        <v>0</v>
      </c>
    </row>
    <row r="57" customFormat="false" ht="15" hidden="false" customHeight="false" outlineLevel="0" collapsed="false">
      <c r="A57" s="3"/>
      <c r="B57" s="3"/>
      <c r="C57" s="15" t="s">
        <v>493</v>
      </c>
      <c r="D57" s="3"/>
      <c r="E57" s="16" t="n">
        <f aca="false">SUM(E53:E56)</f>
        <v>978</v>
      </c>
      <c r="F57" s="17" t="n">
        <f aca="false">SUM(F53:F56)</f>
        <v>55.7</v>
      </c>
      <c r="G57" s="17" t="n">
        <f aca="false">SUM(G53:G56)</f>
        <v>31.4</v>
      </c>
      <c r="H57" s="17" t="n">
        <f aca="false">SUM(H53:H56)</f>
        <v>115.1</v>
      </c>
    </row>
    <row r="59" customFormat="false" ht="15" hidden="false" customHeight="false" outlineLevel="0" collapsed="false">
      <c r="A59" s="8" t="s">
        <v>523</v>
      </c>
      <c r="B59" s="5" t="s">
        <v>278</v>
      </c>
      <c r="C59" s="5" t="s">
        <v>524</v>
      </c>
      <c r="D59" s="8" t="n">
        <v>130</v>
      </c>
      <c r="E59" s="9" t="n">
        <v>266</v>
      </c>
      <c r="F59" s="10" t="n">
        <v>39</v>
      </c>
      <c r="G59" s="10" t="n">
        <v>11.7</v>
      </c>
      <c r="H59" s="10" t="n">
        <v>0</v>
      </c>
    </row>
    <row r="60" customFormat="false" ht="15" hidden="false" customHeight="false" outlineLevel="0" collapsed="false">
      <c r="A60" s="8"/>
      <c r="B60" s="5"/>
      <c r="C60" s="5" t="s">
        <v>525</v>
      </c>
      <c r="D60" s="8" t="n">
        <v>400</v>
      </c>
      <c r="E60" s="9" t="n">
        <v>552</v>
      </c>
      <c r="F60" s="10" t="n">
        <v>18</v>
      </c>
      <c r="G60" s="10" t="n">
        <v>8.4</v>
      </c>
      <c r="H60" s="10" t="n">
        <v>100</v>
      </c>
    </row>
    <row r="61" customFormat="false" ht="15" hidden="false" customHeight="false" outlineLevel="0" collapsed="false">
      <c r="A61" s="8"/>
      <c r="B61" s="5"/>
      <c r="C61" s="5" t="s">
        <v>526</v>
      </c>
      <c r="D61" s="8" t="n">
        <v>200</v>
      </c>
      <c r="E61" s="9" t="n">
        <v>80</v>
      </c>
      <c r="F61" s="10" t="n">
        <v>4</v>
      </c>
      <c r="G61" s="10" t="n">
        <v>1</v>
      </c>
      <c r="H61" s="10" t="n">
        <v>13</v>
      </c>
    </row>
    <row r="62" customFormat="false" ht="15" hidden="false" customHeight="false" outlineLevel="0" collapsed="false">
      <c r="A62" s="8"/>
      <c r="B62" s="5"/>
      <c r="C62" s="5" t="s">
        <v>489</v>
      </c>
      <c r="D62" s="8" t="n">
        <v>10</v>
      </c>
      <c r="E62" s="9" t="n">
        <v>88</v>
      </c>
      <c r="F62" s="10" t="n">
        <v>0</v>
      </c>
      <c r="G62" s="10" t="n">
        <v>10</v>
      </c>
      <c r="H62" s="10" t="n">
        <v>0</v>
      </c>
    </row>
    <row r="63" customFormat="false" ht="15" hidden="false" customHeight="false" outlineLevel="0" collapsed="false">
      <c r="A63" s="8"/>
      <c r="B63" s="5"/>
      <c r="C63" s="5" t="s">
        <v>490</v>
      </c>
      <c r="D63" s="8" t="n">
        <v>5</v>
      </c>
      <c r="E63" s="9" t="n">
        <v>7</v>
      </c>
      <c r="F63" s="10" t="n">
        <v>0.3</v>
      </c>
      <c r="G63" s="10" t="n">
        <v>0</v>
      </c>
      <c r="H63" s="10" t="n">
        <v>1.7</v>
      </c>
    </row>
    <row r="64" customFormat="false" ht="15" hidden="false" customHeight="false" outlineLevel="0" collapsed="false">
      <c r="A64" s="3"/>
      <c r="B64" s="3"/>
      <c r="C64" s="15" t="s">
        <v>493</v>
      </c>
      <c r="D64" s="3"/>
      <c r="E64" s="16" t="n">
        <f aca="false">SUM(E59:E63)</f>
        <v>993</v>
      </c>
      <c r="F64" s="17" t="n">
        <f aca="false">SUM(F59:F63)</f>
        <v>61.3</v>
      </c>
      <c r="G64" s="17" t="n">
        <f aca="false">SUM(G59:G63)</f>
        <v>31.1</v>
      </c>
      <c r="H64" s="17" t="n">
        <f aca="false">SUM(H59:H63)</f>
        <v>114.7</v>
      </c>
    </row>
    <row r="66" customFormat="false" ht="15" hidden="false" customHeight="false" outlineLevel="0" collapsed="false">
      <c r="A66" s="8" t="s">
        <v>527</v>
      </c>
      <c r="B66" s="5" t="s">
        <v>283</v>
      </c>
      <c r="C66" s="5" t="s">
        <v>485</v>
      </c>
      <c r="D66" s="8" t="n">
        <v>130</v>
      </c>
      <c r="E66" s="9" t="n">
        <v>214</v>
      </c>
      <c r="F66" s="10" t="n">
        <v>40.3</v>
      </c>
      <c r="G66" s="10" t="n">
        <v>4.7</v>
      </c>
      <c r="H66" s="10" t="n">
        <v>0</v>
      </c>
    </row>
    <row r="67" customFormat="false" ht="15" hidden="false" customHeight="false" outlineLevel="0" collapsed="false">
      <c r="A67" s="8"/>
      <c r="B67" s="5"/>
      <c r="C67" s="5" t="s">
        <v>528</v>
      </c>
      <c r="D67" s="8" t="n">
        <v>150</v>
      </c>
      <c r="E67" s="9" t="n">
        <v>458</v>
      </c>
      <c r="F67" s="10" t="n">
        <v>12.8</v>
      </c>
      <c r="G67" s="10" t="n">
        <v>11.2</v>
      </c>
      <c r="H67" s="10" t="n">
        <v>73.5</v>
      </c>
    </row>
    <row r="68" customFormat="false" ht="15" hidden="false" customHeight="false" outlineLevel="0" collapsed="false">
      <c r="A68" s="8"/>
      <c r="B68" s="5"/>
      <c r="C68" s="5" t="s">
        <v>529</v>
      </c>
      <c r="D68" s="8" t="n">
        <v>150</v>
      </c>
      <c r="E68" s="9" t="n">
        <v>136</v>
      </c>
      <c r="F68" s="10" t="n">
        <v>9</v>
      </c>
      <c r="G68" s="10" t="n">
        <v>0.6</v>
      </c>
      <c r="H68" s="10" t="n">
        <v>23.7</v>
      </c>
    </row>
    <row r="69" customFormat="false" ht="15" hidden="false" customHeight="false" outlineLevel="0" collapsed="false">
      <c r="A69" s="8"/>
      <c r="B69" s="5"/>
      <c r="C69" s="5" t="s">
        <v>530</v>
      </c>
      <c r="D69" s="8" t="n">
        <v>70</v>
      </c>
      <c r="E69" s="9" t="n">
        <v>116</v>
      </c>
      <c r="F69" s="10" t="n">
        <v>1.4</v>
      </c>
      <c r="G69" s="10" t="n">
        <v>10.5</v>
      </c>
      <c r="H69" s="10" t="n">
        <v>5.6</v>
      </c>
    </row>
    <row r="70" customFormat="false" ht="15" hidden="false" customHeight="false" outlineLevel="0" collapsed="false">
      <c r="A70" s="8"/>
      <c r="B70" s="5"/>
      <c r="C70" s="5" t="s">
        <v>513</v>
      </c>
      <c r="D70" s="8" t="n">
        <v>120</v>
      </c>
      <c r="E70" s="9" t="n">
        <v>37</v>
      </c>
      <c r="F70" s="10" t="n">
        <v>1.2</v>
      </c>
      <c r="G70" s="10" t="n">
        <v>0.4</v>
      </c>
      <c r="H70" s="10" t="n">
        <v>7.2</v>
      </c>
    </row>
    <row r="71" customFormat="false" ht="15" hidden="false" customHeight="false" outlineLevel="0" collapsed="false">
      <c r="A71" s="8"/>
      <c r="B71" s="5"/>
      <c r="C71" s="5" t="s">
        <v>499</v>
      </c>
      <c r="D71" s="8" t="n">
        <v>40</v>
      </c>
      <c r="E71" s="9" t="n">
        <v>22</v>
      </c>
      <c r="F71" s="10" t="n">
        <v>0.4</v>
      </c>
      <c r="G71" s="10" t="n">
        <v>1</v>
      </c>
      <c r="H71" s="10" t="n">
        <v>3</v>
      </c>
    </row>
    <row r="72" customFormat="false" ht="15" hidden="false" customHeight="false" outlineLevel="0" collapsed="false">
      <c r="A72" s="8"/>
      <c r="B72" s="5"/>
      <c r="C72" s="5" t="s">
        <v>492</v>
      </c>
      <c r="D72" s="8" t="n">
        <v>100</v>
      </c>
      <c r="E72" s="9" t="n">
        <v>35</v>
      </c>
      <c r="F72" s="10" t="n">
        <v>0.8</v>
      </c>
      <c r="G72" s="10" t="n">
        <v>0.2</v>
      </c>
      <c r="H72" s="10" t="n">
        <v>8.2</v>
      </c>
    </row>
    <row r="73" customFormat="false" ht="15" hidden="false" customHeight="false" outlineLevel="0" collapsed="false">
      <c r="A73" s="3"/>
      <c r="B73" s="3"/>
      <c r="C73" s="15" t="s">
        <v>493</v>
      </c>
      <c r="D73" s="3"/>
      <c r="E73" s="16" t="n">
        <f aca="false">SUM(E66:E72)</f>
        <v>1018</v>
      </c>
      <c r="F73" s="17" t="n">
        <f aca="false">SUM(F66:F72)</f>
        <v>65.9</v>
      </c>
      <c r="G73" s="17" t="n">
        <f aca="false">SUM(G66:G72)</f>
        <v>28.6</v>
      </c>
      <c r="H73" s="17" t="n">
        <f aca="false">SUM(H66:H72)</f>
        <v>121.2</v>
      </c>
    </row>
    <row r="75" customFormat="false" ht="15" hidden="false" customHeight="false" outlineLevel="0" collapsed="false">
      <c r="A75" s="8" t="s">
        <v>531</v>
      </c>
      <c r="B75" s="5" t="s">
        <v>288</v>
      </c>
      <c r="C75" s="5" t="s">
        <v>485</v>
      </c>
      <c r="D75" s="8" t="n">
        <v>135</v>
      </c>
      <c r="E75" s="9" t="n">
        <v>223</v>
      </c>
      <c r="F75" s="10" t="n">
        <v>41.9</v>
      </c>
      <c r="G75" s="10" t="n">
        <v>4.9</v>
      </c>
      <c r="H75" s="10" t="n">
        <v>0</v>
      </c>
    </row>
    <row r="76" customFormat="false" ht="15" hidden="false" customHeight="false" outlineLevel="0" collapsed="false">
      <c r="A76" s="8"/>
      <c r="B76" s="5"/>
      <c r="C76" s="5" t="s">
        <v>486</v>
      </c>
      <c r="D76" s="8" t="n">
        <v>440</v>
      </c>
      <c r="E76" s="9" t="n">
        <v>572</v>
      </c>
      <c r="F76" s="10" t="n">
        <v>11.9</v>
      </c>
      <c r="G76" s="10" t="n">
        <v>1.3</v>
      </c>
      <c r="H76" s="10" t="n">
        <v>124.1</v>
      </c>
    </row>
    <row r="77" customFormat="false" ht="15" hidden="false" customHeight="false" outlineLevel="0" collapsed="false">
      <c r="A77" s="8"/>
      <c r="B77" s="5"/>
      <c r="C77" s="5" t="s">
        <v>526</v>
      </c>
      <c r="D77" s="8" t="n">
        <v>200</v>
      </c>
      <c r="E77" s="9" t="n">
        <v>80</v>
      </c>
      <c r="F77" s="10" t="n">
        <v>4</v>
      </c>
      <c r="G77" s="10" t="n">
        <v>1</v>
      </c>
      <c r="H77" s="10" t="n">
        <v>13</v>
      </c>
    </row>
    <row r="78" customFormat="false" ht="15" hidden="false" customHeight="false" outlineLevel="0" collapsed="false">
      <c r="A78" s="8"/>
      <c r="B78" s="5"/>
      <c r="C78" s="5" t="s">
        <v>509</v>
      </c>
      <c r="D78" s="8" t="n">
        <v>60</v>
      </c>
      <c r="E78" s="9" t="n">
        <v>118</v>
      </c>
      <c r="F78" s="10" t="n">
        <v>1.2</v>
      </c>
      <c r="G78" s="10" t="n">
        <v>12.6</v>
      </c>
      <c r="H78" s="10" t="n">
        <v>1.7</v>
      </c>
    </row>
    <row r="79" customFormat="false" ht="15" hidden="false" customHeight="false" outlineLevel="0" collapsed="false">
      <c r="A79" s="8"/>
      <c r="B79" s="5"/>
      <c r="C79" s="5" t="s">
        <v>510</v>
      </c>
      <c r="D79" s="8" t="n">
        <v>25</v>
      </c>
      <c r="E79" s="9" t="n">
        <v>38</v>
      </c>
      <c r="F79" s="10" t="n">
        <v>0.8</v>
      </c>
      <c r="G79" s="10" t="n">
        <v>2</v>
      </c>
      <c r="H79" s="10" t="n">
        <v>3.8</v>
      </c>
    </row>
    <row r="80" customFormat="false" ht="15" hidden="false" customHeight="false" outlineLevel="0" collapsed="false">
      <c r="A80" s="3"/>
      <c r="B80" s="3"/>
      <c r="C80" s="15" t="s">
        <v>493</v>
      </c>
      <c r="D80" s="3"/>
      <c r="E80" s="16" t="n">
        <f aca="false">SUM(E75:E79)</f>
        <v>1031</v>
      </c>
      <c r="F80" s="17" t="n">
        <f aca="false">SUM(F75:F79)</f>
        <v>59.8</v>
      </c>
      <c r="G80" s="17" t="n">
        <f aca="false">SUM(G75:G79)</f>
        <v>21.8</v>
      </c>
      <c r="H80" s="17" t="n">
        <f aca="false">SUM(H75:H79)</f>
        <v>142.6</v>
      </c>
    </row>
    <row r="82" customFormat="false" ht="15" hidden="false" customHeight="false" outlineLevel="0" collapsed="false">
      <c r="A82" s="8" t="s">
        <v>532</v>
      </c>
      <c r="B82" s="5" t="s">
        <v>293</v>
      </c>
      <c r="C82" s="5" t="s">
        <v>533</v>
      </c>
      <c r="D82" s="8" t="n">
        <v>130</v>
      </c>
      <c r="E82" s="9" t="n">
        <v>325</v>
      </c>
      <c r="F82" s="10" t="n">
        <v>31.2</v>
      </c>
      <c r="G82" s="10" t="n">
        <v>22.1</v>
      </c>
      <c r="H82" s="10" t="n">
        <v>0</v>
      </c>
    </row>
    <row r="83" customFormat="false" ht="15" hidden="false" customHeight="false" outlineLevel="0" collapsed="false">
      <c r="A83" s="8"/>
      <c r="B83" s="5"/>
      <c r="C83" s="5" t="s">
        <v>534</v>
      </c>
      <c r="D83" s="8" t="n">
        <v>110</v>
      </c>
      <c r="E83" s="9" t="n">
        <v>292</v>
      </c>
      <c r="F83" s="10" t="n">
        <v>9.9</v>
      </c>
      <c r="G83" s="10" t="n">
        <v>3.5</v>
      </c>
      <c r="H83" s="10" t="n">
        <v>53.9</v>
      </c>
    </row>
    <row r="84" customFormat="false" ht="15" hidden="false" customHeight="false" outlineLevel="0" collapsed="false">
      <c r="A84" s="8"/>
      <c r="B84" s="5"/>
      <c r="C84" s="5" t="s">
        <v>535</v>
      </c>
      <c r="D84" s="8" t="n">
        <v>380</v>
      </c>
      <c r="E84" s="9" t="n">
        <v>570</v>
      </c>
      <c r="F84" s="10" t="n">
        <v>9.9</v>
      </c>
      <c r="G84" s="10" t="n">
        <v>17.1</v>
      </c>
      <c r="H84" s="10" t="n">
        <v>93.1</v>
      </c>
    </row>
    <row r="85" customFormat="false" ht="15" hidden="false" customHeight="false" outlineLevel="0" collapsed="false">
      <c r="A85" s="8"/>
      <c r="B85" s="5"/>
      <c r="C85" s="5" t="s">
        <v>536</v>
      </c>
      <c r="D85" s="8" t="n">
        <v>40</v>
      </c>
      <c r="E85" s="9" t="n">
        <v>6</v>
      </c>
      <c r="F85" s="10" t="n">
        <v>0.4</v>
      </c>
      <c r="G85" s="10" t="n">
        <v>0.1</v>
      </c>
      <c r="H85" s="10" t="n">
        <v>0.8</v>
      </c>
    </row>
    <row r="86" customFormat="false" ht="15" hidden="false" customHeight="false" outlineLevel="0" collapsed="false">
      <c r="A86" s="8"/>
      <c r="B86" s="5"/>
      <c r="C86" s="5" t="s">
        <v>537</v>
      </c>
      <c r="D86" s="8" t="n">
        <v>60</v>
      </c>
      <c r="E86" s="9" t="n">
        <v>11</v>
      </c>
      <c r="F86" s="10" t="n">
        <v>0.5</v>
      </c>
      <c r="G86" s="10" t="n">
        <v>0.1</v>
      </c>
      <c r="H86" s="10" t="n">
        <v>2.3</v>
      </c>
    </row>
    <row r="87" customFormat="false" ht="15" hidden="false" customHeight="false" outlineLevel="0" collapsed="false">
      <c r="A87" s="8"/>
      <c r="B87" s="5"/>
      <c r="C87" s="5" t="s">
        <v>538</v>
      </c>
      <c r="D87" s="8" t="n">
        <v>12</v>
      </c>
      <c r="E87" s="9" t="n">
        <v>82</v>
      </c>
      <c r="F87" s="10" t="n">
        <v>0.1</v>
      </c>
      <c r="G87" s="10" t="n">
        <v>9</v>
      </c>
      <c r="H87" s="10" t="n">
        <v>0.2</v>
      </c>
    </row>
    <row r="88" customFormat="false" ht="15" hidden="false" customHeight="false" outlineLevel="0" collapsed="false">
      <c r="A88" s="8"/>
      <c r="B88" s="5"/>
      <c r="C88" s="5" t="s">
        <v>492</v>
      </c>
      <c r="D88" s="8" t="n">
        <v>100</v>
      </c>
      <c r="E88" s="9" t="n">
        <v>35</v>
      </c>
      <c r="F88" s="10" t="n">
        <v>0.8</v>
      </c>
      <c r="G88" s="10" t="n">
        <v>0.2</v>
      </c>
      <c r="H88" s="10" t="n">
        <v>8.2</v>
      </c>
    </row>
    <row r="89" customFormat="false" ht="15" hidden="false" customHeight="false" outlineLevel="0" collapsed="false">
      <c r="A89" s="3"/>
      <c r="B89" s="3"/>
      <c r="C89" s="15" t="s">
        <v>493</v>
      </c>
      <c r="D89" s="3"/>
      <c r="E89" s="16" t="n">
        <f aca="false">SUM(E82:E88)</f>
        <v>1321</v>
      </c>
      <c r="F89" s="17" t="n">
        <f aca="false">SUM(F82:F88)</f>
        <v>52.8</v>
      </c>
      <c r="G89" s="17" t="n">
        <f aca="false">SUM(G82:G88)</f>
        <v>52.1</v>
      </c>
      <c r="H89" s="17" t="n">
        <f aca="false">SUM(H82:H88)</f>
        <v>158.5</v>
      </c>
    </row>
    <row r="91" customFormat="false" ht="15" hidden="false" customHeight="false" outlineLevel="0" collapsed="false">
      <c r="A91" s="8" t="s">
        <v>539</v>
      </c>
      <c r="B91" s="5" t="s">
        <v>298</v>
      </c>
      <c r="C91" s="5" t="s">
        <v>495</v>
      </c>
      <c r="D91" s="8" t="n">
        <v>320</v>
      </c>
      <c r="E91" s="9" t="n">
        <v>506</v>
      </c>
      <c r="F91" s="10" t="n">
        <v>18.6</v>
      </c>
      <c r="G91" s="10" t="n">
        <v>2.9</v>
      </c>
      <c r="H91" s="10" t="n">
        <v>98.9</v>
      </c>
    </row>
    <row r="92" customFormat="false" ht="15" hidden="false" customHeight="false" outlineLevel="0" collapsed="false">
      <c r="A92" s="8"/>
      <c r="B92" s="5"/>
      <c r="C92" s="5" t="s">
        <v>496</v>
      </c>
      <c r="D92" s="8" t="n">
        <v>115</v>
      </c>
      <c r="E92" s="9" t="n">
        <v>207</v>
      </c>
      <c r="F92" s="10" t="n">
        <v>29.9</v>
      </c>
      <c r="G92" s="10" t="n">
        <v>9.2</v>
      </c>
      <c r="H92" s="10" t="n">
        <v>0</v>
      </c>
    </row>
    <row r="93" customFormat="false" ht="15" hidden="false" customHeight="false" outlineLevel="0" collapsed="false">
      <c r="A93" s="8"/>
      <c r="B93" s="5"/>
      <c r="C93" s="5" t="s">
        <v>498</v>
      </c>
      <c r="D93" s="8" t="n">
        <v>150</v>
      </c>
      <c r="E93" s="9" t="n">
        <v>123</v>
      </c>
      <c r="F93" s="10" t="n">
        <v>6.5</v>
      </c>
      <c r="G93" s="10" t="n">
        <v>0.8</v>
      </c>
      <c r="H93" s="10" t="n">
        <v>28.4</v>
      </c>
    </row>
    <row r="94" customFormat="false" ht="15" hidden="false" customHeight="false" outlineLevel="0" collapsed="false">
      <c r="A94" s="8"/>
      <c r="B94" s="5"/>
      <c r="C94" s="5" t="s">
        <v>540</v>
      </c>
      <c r="D94" s="8" t="n">
        <v>45</v>
      </c>
      <c r="E94" s="9" t="n">
        <v>148</v>
      </c>
      <c r="F94" s="10" t="n">
        <v>12.6</v>
      </c>
      <c r="G94" s="10" t="n">
        <v>10.3</v>
      </c>
      <c r="H94" s="10" t="n">
        <v>0.5</v>
      </c>
    </row>
    <row r="95" customFormat="false" ht="15" hidden="false" customHeight="false" outlineLevel="0" collapsed="false">
      <c r="A95" s="8"/>
      <c r="B95" s="5"/>
      <c r="C95" s="5" t="s">
        <v>541</v>
      </c>
      <c r="D95" s="8" t="n">
        <v>100</v>
      </c>
      <c r="E95" s="9" t="n">
        <v>46</v>
      </c>
      <c r="F95" s="10" t="n">
        <v>3.4</v>
      </c>
      <c r="G95" s="10" t="n">
        <v>1.5</v>
      </c>
      <c r="H95" s="10" t="n">
        <v>4.7</v>
      </c>
    </row>
    <row r="96" customFormat="false" ht="15" hidden="false" customHeight="false" outlineLevel="0" collapsed="false">
      <c r="A96" s="8"/>
      <c r="B96" s="5"/>
      <c r="C96" s="5" t="s">
        <v>536</v>
      </c>
      <c r="D96" s="8" t="n">
        <v>60</v>
      </c>
      <c r="E96" s="9" t="n">
        <v>9</v>
      </c>
      <c r="F96" s="10" t="n">
        <v>0.6</v>
      </c>
      <c r="G96" s="10" t="n">
        <v>0.1</v>
      </c>
      <c r="H96" s="10" t="n">
        <v>1.2</v>
      </c>
    </row>
    <row r="97" customFormat="false" ht="15" hidden="false" customHeight="false" outlineLevel="0" collapsed="false">
      <c r="A97" s="8"/>
      <c r="B97" s="5"/>
      <c r="C97" s="5" t="s">
        <v>542</v>
      </c>
      <c r="D97" s="8" t="n">
        <v>70</v>
      </c>
      <c r="E97" s="9" t="n">
        <v>10</v>
      </c>
      <c r="F97" s="10" t="n">
        <v>0.5</v>
      </c>
      <c r="G97" s="10" t="n">
        <v>0.1</v>
      </c>
      <c r="H97" s="10" t="n">
        <v>2.5</v>
      </c>
    </row>
    <row r="98" customFormat="false" ht="15" hidden="false" customHeight="false" outlineLevel="0" collapsed="false">
      <c r="A98" s="8"/>
      <c r="B98" s="5"/>
      <c r="C98" s="5" t="s">
        <v>489</v>
      </c>
      <c r="D98" s="8" t="n">
        <v>8</v>
      </c>
      <c r="E98" s="9" t="n">
        <v>71</v>
      </c>
      <c r="F98" s="10" t="n">
        <v>0</v>
      </c>
      <c r="G98" s="10" t="n">
        <v>8</v>
      </c>
      <c r="H98" s="10" t="n">
        <v>0</v>
      </c>
    </row>
    <row r="99" customFormat="false" ht="15" hidden="false" customHeight="false" outlineLevel="0" collapsed="false">
      <c r="A99" s="8"/>
      <c r="B99" s="5"/>
      <c r="C99" s="5" t="s">
        <v>492</v>
      </c>
      <c r="D99" s="8" t="n">
        <v>100</v>
      </c>
      <c r="E99" s="9" t="n">
        <v>35</v>
      </c>
      <c r="F99" s="10" t="n">
        <v>0.8</v>
      </c>
      <c r="G99" s="10" t="n">
        <v>0.2</v>
      </c>
      <c r="H99" s="10" t="n">
        <v>8.2</v>
      </c>
    </row>
    <row r="100" customFormat="false" ht="15" hidden="false" customHeight="false" outlineLevel="0" collapsed="false">
      <c r="A100" s="3"/>
      <c r="B100" s="3"/>
      <c r="C100" s="15" t="s">
        <v>493</v>
      </c>
      <c r="D100" s="3"/>
      <c r="E100" s="16" t="n">
        <f aca="false">SUM(E91:E99)</f>
        <v>1155</v>
      </c>
      <c r="F100" s="17" t="n">
        <f aca="false">SUM(F91:F99)</f>
        <v>72.9</v>
      </c>
      <c r="G100" s="17" t="n">
        <f aca="false">SUM(G91:G99)</f>
        <v>33.1</v>
      </c>
      <c r="H100" s="17" t="n">
        <f aca="false">SUM(H91:H99)</f>
        <v>144.4</v>
      </c>
    </row>
    <row r="102" customFormat="false" ht="15" hidden="false" customHeight="false" outlineLevel="0" collapsed="false">
      <c r="A102" s="8" t="s">
        <v>543</v>
      </c>
      <c r="B102" s="5" t="s">
        <v>303</v>
      </c>
      <c r="C102" s="5" t="s">
        <v>524</v>
      </c>
      <c r="D102" s="8" t="n">
        <v>135</v>
      </c>
      <c r="E102" s="9" t="n">
        <v>277</v>
      </c>
      <c r="F102" s="10" t="n">
        <v>40.5</v>
      </c>
      <c r="G102" s="10" t="n">
        <v>12.2</v>
      </c>
      <c r="H102" s="10" t="n">
        <v>0</v>
      </c>
    </row>
    <row r="103" customFormat="false" ht="15" hidden="false" customHeight="false" outlineLevel="0" collapsed="false">
      <c r="A103" s="8"/>
      <c r="B103" s="5"/>
      <c r="C103" s="5" t="s">
        <v>544</v>
      </c>
      <c r="D103" s="8" t="n">
        <v>160</v>
      </c>
      <c r="E103" s="9" t="n">
        <v>496</v>
      </c>
      <c r="F103" s="10" t="n">
        <v>14.4</v>
      </c>
      <c r="G103" s="10" t="n">
        <v>11.2</v>
      </c>
      <c r="H103" s="10" t="n">
        <v>83.2</v>
      </c>
    </row>
    <row r="104" customFormat="false" ht="15" hidden="false" customHeight="false" outlineLevel="0" collapsed="false">
      <c r="A104" s="8"/>
      <c r="B104" s="5"/>
      <c r="C104" s="5" t="s">
        <v>545</v>
      </c>
      <c r="D104" s="8" t="n">
        <v>90</v>
      </c>
      <c r="E104" s="9" t="n">
        <v>99</v>
      </c>
      <c r="F104" s="10" t="n">
        <v>3.1</v>
      </c>
      <c r="G104" s="10" t="n">
        <v>7.7</v>
      </c>
      <c r="H104" s="10" t="n">
        <v>3.6</v>
      </c>
    </row>
    <row r="105" customFormat="false" ht="15" hidden="false" customHeight="false" outlineLevel="0" collapsed="false">
      <c r="A105" s="8"/>
      <c r="B105" s="5"/>
      <c r="C105" s="5" t="s">
        <v>513</v>
      </c>
      <c r="D105" s="8" t="n">
        <v>120</v>
      </c>
      <c r="E105" s="9" t="n">
        <v>37</v>
      </c>
      <c r="F105" s="10" t="n">
        <v>1.2</v>
      </c>
      <c r="G105" s="10" t="n">
        <v>0.4</v>
      </c>
      <c r="H105" s="10" t="n">
        <v>7.2</v>
      </c>
    </row>
    <row r="106" customFormat="false" ht="15" hidden="false" customHeight="false" outlineLevel="0" collapsed="false">
      <c r="A106" s="8"/>
      <c r="B106" s="5"/>
      <c r="C106" s="5" t="s">
        <v>499</v>
      </c>
      <c r="D106" s="8" t="n">
        <v>40</v>
      </c>
      <c r="E106" s="9" t="n">
        <v>22</v>
      </c>
      <c r="F106" s="10" t="n">
        <v>0.4</v>
      </c>
      <c r="G106" s="10" t="n">
        <v>1</v>
      </c>
      <c r="H106" s="10" t="n">
        <v>3</v>
      </c>
    </row>
    <row r="107" customFormat="false" ht="15" hidden="false" customHeight="false" outlineLevel="0" collapsed="false">
      <c r="A107" s="8"/>
      <c r="B107" s="5"/>
      <c r="C107" s="5" t="s">
        <v>492</v>
      </c>
      <c r="D107" s="8" t="n">
        <v>100</v>
      </c>
      <c r="E107" s="9" t="n">
        <v>35</v>
      </c>
      <c r="F107" s="10" t="n">
        <v>0.8</v>
      </c>
      <c r="G107" s="10" t="n">
        <v>0.2</v>
      </c>
      <c r="H107" s="10" t="n">
        <v>8.2</v>
      </c>
    </row>
    <row r="108" customFormat="false" ht="15" hidden="false" customHeight="false" outlineLevel="0" collapsed="false">
      <c r="A108" s="3"/>
      <c r="B108" s="3"/>
      <c r="C108" s="15" t="s">
        <v>493</v>
      </c>
      <c r="D108" s="3"/>
      <c r="E108" s="16" t="n">
        <f aca="false">SUM(E102:E107)</f>
        <v>966</v>
      </c>
      <c r="F108" s="17" t="n">
        <f aca="false">SUM(F102:F107)</f>
        <v>60.4</v>
      </c>
      <c r="G108" s="17" t="n">
        <f aca="false">SUM(G102:G107)</f>
        <v>32.7</v>
      </c>
      <c r="H108" s="17" t="n">
        <f aca="false">SUM(H102:H107)</f>
        <v>105.2</v>
      </c>
    </row>
    <row r="110" customFormat="false" ht="15" hidden="false" customHeight="false" outlineLevel="0" collapsed="false">
      <c r="A110" s="8" t="s">
        <v>546</v>
      </c>
      <c r="B110" s="5" t="s">
        <v>308</v>
      </c>
      <c r="C110" s="5" t="s">
        <v>547</v>
      </c>
      <c r="D110" s="8" t="n">
        <v>145</v>
      </c>
      <c r="E110" s="9" t="n">
        <v>341</v>
      </c>
      <c r="F110" s="10" t="n">
        <v>36.2</v>
      </c>
      <c r="G110" s="10" t="n">
        <v>21</v>
      </c>
      <c r="H110" s="10" t="n">
        <v>1.4</v>
      </c>
    </row>
    <row r="111" customFormat="false" ht="15" hidden="false" customHeight="false" outlineLevel="0" collapsed="false">
      <c r="A111" s="8"/>
      <c r="B111" s="5"/>
      <c r="C111" s="5" t="s">
        <v>548</v>
      </c>
      <c r="D111" s="8" t="n">
        <v>190</v>
      </c>
      <c r="E111" s="9" t="n">
        <v>522</v>
      </c>
      <c r="F111" s="10" t="n">
        <v>17.3</v>
      </c>
      <c r="G111" s="10" t="n">
        <v>2.3</v>
      </c>
      <c r="H111" s="10" t="n">
        <v>105.8</v>
      </c>
    </row>
    <row r="112" customFormat="false" ht="15" hidden="false" customHeight="false" outlineLevel="0" collapsed="false">
      <c r="A112" s="8"/>
      <c r="B112" s="5"/>
      <c r="C112" s="5" t="s">
        <v>536</v>
      </c>
      <c r="D112" s="8" t="n">
        <v>60</v>
      </c>
      <c r="E112" s="9" t="n">
        <v>9</v>
      </c>
      <c r="F112" s="10" t="n">
        <v>0.6</v>
      </c>
      <c r="G112" s="10" t="n">
        <v>0.1</v>
      </c>
      <c r="H112" s="10" t="n">
        <v>1.2</v>
      </c>
    </row>
    <row r="113" customFormat="false" ht="15" hidden="false" customHeight="false" outlineLevel="0" collapsed="false">
      <c r="A113" s="8"/>
      <c r="B113" s="5"/>
      <c r="C113" s="5" t="s">
        <v>537</v>
      </c>
      <c r="D113" s="8" t="n">
        <v>70</v>
      </c>
      <c r="E113" s="9" t="n">
        <v>13</v>
      </c>
      <c r="F113" s="10" t="n">
        <v>0.6</v>
      </c>
      <c r="G113" s="10" t="n">
        <v>0.1</v>
      </c>
      <c r="H113" s="10" t="n">
        <v>2.7</v>
      </c>
    </row>
    <row r="114" customFormat="false" ht="15" hidden="false" customHeight="false" outlineLevel="0" collapsed="false">
      <c r="A114" s="8"/>
      <c r="B114" s="5"/>
      <c r="C114" s="5" t="s">
        <v>542</v>
      </c>
      <c r="D114" s="8" t="n">
        <v>60</v>
      </c>
      <c r="E114" s="9" t="n">
        <v>9</v>
      </c>
      <c r="F114" s="10" t="n">
        <v>0.4</v>
      </c>
      <c r="G114" s="10" t="n">
        <v>0.1</v>
      </c>
      <c r="H114" s="10" t="n">
        <v>2.2</v>
      </c>
    </row>
    <row r="115" customFormat="false" ht="15" hidden="false" customHeight="false" outlineLevel="0" collapsed="false">
      <c r="A115" s="8"/>
      <c r="B115" s="5"/>
      <c r="C115" s="5" t="s">
        <v>549</v>
      </c>
      <c r="D115" s="8" t="n">
        <v>50</v>
      </c>
      <c r="E115" s="9" t="n">
        <v>48</v>
      </c>
      <c r="F115" s="10" t="n">
        <v>1.5</v>
      </c>
      <c r="G115" s="10" t="n">
        <v>3</v>
      </c>
      <c r="H115" s="10" t="n">
        <v>3</v>
      </c>
    </row>
    <row r="116" customFormat="false" ht="15" hidden="false" customHeight="false" outlineLevel="0" collapsed="false">
      <c r="A116" s="8"/>
      <c r="B116" s="5"/>
      <c r="C116" s="5" t="s">
        <v>492</v>
      </c>
      <c r="D116" s="8" t="n">
        <v>100</v>
      </c>
      <c r="E116" s="9" t="n">
        <v>35</v>
      </c>
      <c r="F116" s="10" t="n">
        <v>0.8</v>
      </c>
      <c r="G116" s="10" t="n">
        <v>0.2</v>
      </c>
      <c r="H116" s="10" t="n">
        <v>8.2</v>
      </c>
    </row>
    <row r="117" customFormat="false" ht="15" hidden="false" customHeight="false" outlineLevel="0" collapsed="false">
      <c r="A117" s="3"/>
      <c r="B117" s="3"/>
      <c r="C117" s="15" t="s">
        <v>493</v>
      </c>
      <c r="D117" s="3"/>
      <c r="E117" s="16" t="n">
        <f aca="false">SUM(E110:E116)</f>
        <v>977</v>
      </c>
      <c r="F117" s="17" t="n">
        <f aca="false">SUM(F110:F116)</f>
        <v>57.4</v>
      </c>
      <c r="G117" s="17" t="n">
        <f aca="false">SUM(G110:G116)</f>
        <v>26.8</v>
      </c>
      <c r="H117" s="17" t="n">
        <f aca="false">SUM(H110:H116)</f>
        <v>124.5</v>
      </c>
    </row>
    <row r="119" customFormat="false" ht="15" hidden="false" customHeight="false" outlineLevel="0" collapsed="false">
      <c r="A119" s="8" t="s">
        <v>550</v>
      </c>
      <c r="B119" s="5" t="s">
        <v>313</v>
      </c>
      <c r="C119" s="5" t="s">
        <v>497</v>
      </c>
      <c r="D119" s="8" t="n">
        <v>145</v>
      </c>
      <c r="E119" s="9" t="n">
        <v>370</v>
      </c>
      <c r="F119" s="10" t="n">
        <v>31.9</v>
      </c>
      <c r="G119" s="10" t="n">
        <v>24.6</v>
      </c>
      <c r="H119" s="10" t="n">
        <v>5.8</v>
      </c>
    </row>
    <row r="120" customFormat="false" ht="15" hidden="false" customHeight="false" outlineLevel="0" collapsed="false">
      <c r="A120" s="8"/>
      <c r="B120" s="5"/>
      <c r="C120" s="5" t="s">
        <v>486</v>
      </c>
      <c r="D120" s="8" t="n">
        <v>440</v>
      </c>
      <c r="E120" s="9" t="n">
        <v>572</v>
      </c>
      <c r="F120" s="10" t="n">
        <v>11.9</v>
      </c>
      <c r="G120" s="10" t="n">
        <v>1.3</v>
      </c>
      <c r="H120" s="10" t="n">
        <v>124.1</v>
      </c>
    </row>
    <row r="121" customFormat="false" ht="15" hidden="false" customHeight="false" outlineLevel="0" collapsed="false">
      <c r="A121" s="8"/>
      <c r="B121" s="5"/>
      <c r="C121" s="5" t="s">
        <v>545</v>
      </c>
      <c r="D121" s="8" t="n">
        <v>90</v>
      </c>
      <c r="E121" s="9" t="n">
        <v>99</v>
      </c>
      <c r="F121" s="10" t="n">
        <v>3.1</v>
      </c>
      <c r="G121" s="10" t="n">
        <v>7.7</v>
      </c>
      <c r="H121" s="10" t="n">
        <v>3.6</v>
      </c>
    </row>
    <row r="122" customFormat="false" ht="15" hidden="false" customHeight="false" outlineLevel="0" collapsed="false">
      <c r="A122" s="8"/>
      <c r="B122" s="5"/>
      <c r="C122" s="5" t="s">
        <v>504</v>
      </c>
      <c r="D122" s="8" t="n">
        <v>150</v>
      </c>
      <c r="E122" s="9" t="n">
        <v>52</v>
      </c>
      <c r="F122" s="10" t="n">
        <v>2.9</v>
      </c>
      <c r="G122" s="10" t="n">
        <v>0.5</v>
      </c>
      <c r="H122" s="10" t="n">
        <v>11.8</v>
      </c>
    </row>
    <row r="123" customFormat="false" ht="15" hidden="false" customHeight="false" outlineLevel="0" collapsed="false">
      <c r="A123" s="8"/>
      <c r="B123" s="5"/>
      <c r="C123" s="5" t="s">
        <v>492</v>
      </c>
      <c r="D123" s="8" t="n">
        <v>100</v>
      </c>
      <c r="E123" s="9" t="n">
        <v>35</v>
      </c>
      <c r="F123" s="10" t="n">
        <v>0.8</v>
      </c>
      <c r="G123" s="10" t="n">
        <v>0.2</v>
      </c>
      <c r="H123" s="10" t="n">
        <v>8.2</v>
      </c>
    </row>
    <row r="124" customFormat="false" ht="15" hidden="false" customHeight="false" outlineLevel="0" collapsed="false">
      <c r="A124" s="3"/>
      <c r="B124" s="3"/>
      <c r="C124" s="15" t="s">
        <v>493</v>
      </c>
      <c r="D124" s="3"/>
      <c r="E124" s="16" t="n">
        <f aca="false">SUM(E119:E123)</f>
        <v>1128</v>
      </c>
      <c r="F124" s="17" t="n">
        <f aca="false">SUM(F119:F123)</f>
        <v>50.6</v>
      </c>
      <c r="G124" s="17" t="n">
        <f aca="false">SUM(G119:G123)</f>
        <v>34.3</v>
      </c>
      <c r="H124" s="17" t="n">
        <f aca="false">SUM(H119:H123)</f>
        <v>153.5</v>
      </c>
    </row>
    <row r="126" customFormat="false" ht="15" hidden="false" customHeight="false" outlineLevel="0" collapsed="false">
      <c r="A126" s="8" t="s">
        <v>551</v>
      </c>
      <c r="B126" s="5" t="s">
        <v>318</v>
      </c>
      <c r="C126" s="5" t="s">
        <v>552</v>
      </c>
      <c r="D126" s="8" t="n">
        <v>130</v>
      </c>
      <c r="E126" s="9" t="n">
        <v>151</v>
      </c>
      <c r="F126" s="10" t="n">
        <v>33.8</v>
      </c>
      <c r="G126" s="10" t="n">
        <v>1.3</v>
      </c>
      <c r="H126" s="10" t="n">
        <v>0</v>
      </c>
    </row>
    <row r="127" customFormat="false" ht="15" hidden="false" customHeight="false" outlineLevel="0" collapsed="false">
      <c r="A127" s="8"/>
      <c r="B127" s="5"/>
      <c r="C127" s="5" t="s">
        <v>553</v>
      </c>
      <c r="D127" s="8" t="n">
        <v>400</v>
      </c>
      <c r="E127" s="9" t="n">
        <v>492</v>
      </c>
      <c r="F127" s="10" t="n">
        <v>9.2</v>
      </c>
      <c r="G127" s="10" t="n">
        <v>1.6</v>
      </c>
      <c r="H127" s="10" t="n">
        <v>112.8</v>
      </c>
    </row>
    <row r="128" customFormat="false" ht="15" hidden="false" customHeight="false" outlineLevel="0" collapsed="false">
      <c r="A128" s="8"/>
      <c r="B128" s="5"/>
      <c r="C128" s="5" t="s">
        <v>554</v>
      </c>
      <c r="D128" s="8" t="n">
        <v>80</v>
      </c>
      <c r="E128" s="9" t="n">
        <v>69</v>
      </c>
      <c r="F128" s="10" t="n">
        <v>2.6</v>
      </c>
      <c r="G128" s="10" t="n">
        <v>1</v>
      </c>
      <c r="H128" s="10" t="n">
        <v>15.2</v>
      </c>
    </row>
    <row r="129" customFormat="false" ht="15" hidden="false" customHeight="false" outlineLevel="0" collapsed="false">
      <c r="A129" s="8"/>
      <c r="B129" s="5"/>
      <c r="C129" s="5" t="s">
        <v>542</v>
      </c>
      <c r="D129" s="8" t="n">
        <v>100</v>
      </c>
      <c r="E129" s="9" t="n">
        <v>15</v>
      </c>
      <c r="F129" s="10" t="n">
        <v>0.7</v>
      </c>
      <c r="G129" s="10" t="n">
        <v>0.1</v>
      </c>
      <c r="H129" s="10" t="n">
        <v>3.6</v>
      </c>
    </row>
    <row r="130" customFormat="false" ht="15" hidden="false" customHeight="false" outlineLevel="0" collapsed="false">
      <c r="A130" s="8"/>
      <c r="B130" s="5"/>
      <c r="C130" s="5" t="s">
        <v>537</v>
      </c>
      <c r="D130" s="8" t="n">
        <v>100</v>
      </c>
      <c r="E130" s="9" t="n">
        <v>18</v>
      </c>
      <c r="F130" s="10" t="n">
        <v>0.9</v>
      </c>
      <c r="G130" s="10" t="n">
        <v>0.2</v>
      </c>
      <c r="H130" s="10" t="n">
        <v>3.9</v>
      </c>
    </row>
    <row r="131" customFormat="false" ht="15" hidden="false" customHeight="false" outlineLevel="0" collapsed="false">
      <c r="A131" s="8"/>
      <c r="B131" s="5"/>
      <c r="C131" s="5" t="s">
        <v>489</v>
      </c>
      <c r="D131" s="8" t="n">
        <v>15</v>
      </c>
      <c r="E131" s="9" t="n">
        <v>133</v>
      </c>
      <c r="F131" s="10" t="n">
        <v>0</v>
      </c>
      <c r="G131" s="10" t="n">
        <v>15</v>
      </c>
      <c r="H131" s="10" t="n">
        <v>0</v>
      </c>
    </row>
    <row r="132" customFormat="false" ht="15" hidden="false" customHeight="false" outlineLevel="0" collapsed="false">
      <c r="A132" s="8"/>
      <c r="B132" s="5"/>
      <c r="C132" s="5" t="s">
        <v>514</v>
      </c>
      <c r="D132" s="8" t="n">
        <v>10</v>
      </c>
      <c r="E132" s="9" t="n">
        <v>2</v>
      </c>
      <c r="F132" s="10" t="n">
        <v>0</v>
      </c>
      <c r="G132" s="10" t="n">
        <v>0</v>
      </c>
      <c r="H132" s="10" t="n">
        <v>0.7</v>
      </c>
    </row>
    <row r="133" customFormat="false" ht="15" hidden="false" customHeight="false" outlineLevel="0" collapsed="false">
      <c r="A133" s="8"/>
      <c r="B133" s="5"/>
      <c r="C133" s="5" t="s">
        <v>492</v>
      </c>
      <c r="D133" s="8" t="n">
        <v>100</v>
      </c>
      <c r="E133" s="9" t="n">
        <v>35</v>
      </c>
      <c r="F133" s="10" t="n">
        <v>0.8</v>
      </c>
      <c r="G133" s="10" t="n">
        <v>0.2</v>
      </c>
      <c r="H133" s="10" t="n">
        <v>8.2</v>
      </c>
    </row>
    <row r="134" customFormat="false" ht="15" hidden="false" customHeight="false" outlineLevel="0" collapsed="false">
      <c r="A134" s="3"/>
      <c r="B134" s="3"/>
      <c r="C134" s="15" t="s">
        <v>493</v>
      </c>
      <c r="D134" s="3"/>
      <c r="E134" s="16" t="n">
        <f aca="false">SUM(E126:E133)</f>
        <v>915</v>
      </c>
      <c r="F134" s="17" t="n">
        <f aca="false">SUM(F126:F133)</f>
        <v>48</v>
      </c>
      <c r="G134" s="17" t="n">
        <f aca="false">SUM(G126:G133)</f>
        <v>19.4</v>
      </c>
      <c r="H134" s="17" t="n">
        <f aca="false">SUM(H126:H133)</f>
        <v>144.4</v>
      </c>
    </row>
    <row r="136" customFormat="false" ht="15" hidden="false" customHeight="false" outlineLevel="0" collapsed="false">
      <c r="A136" s="8" t="s">
        <v>555</v>
      </c>
      <c r="B136" s="5" t="s">
        <v>323</v>
      </c>
      <c r="C136" s="5" t="s">
        <v>556</v>
      </c>
      <c r="D136" s="8" t="n">
        <v>145</v>
      </c>
      <c r="E136" s="9" t="n">
        <v>144</v>
      </c>
      <c r="F136" s="10" t="n">
        <v>34.8</v>
      </c>
      <c r="G136" s="10" t="n">
        <v>0.4</v>
      </c>
      <c r="H136" s="10" t="n">
        <v>0.3</v>
      </c>
    </row>
    <row r="137" customFormat="false" ht="15" hidden="false" customHeight="false" outlineLevel="0" collapsed="false">
      <c r="A137" s="8"/>
      <c r="B137" s="5"/>
      <c r="C137" s="5" t="s">
        <v>495</v>
      </c>
      <c r="D137" s="8" t="n">
        <v>420</v>
      </c>
      <c r="E137" s="9" t="n">
        <v>664</v>
      </c>
      <c r="F137" s="10" t="n">
        <v>24.4</v>
      </c>
      <c r="G137" s="10" t="n">
        <v>3.8</v>
      </c>
      <c r="H137" s="10" t="n">
        <v>129.8</v>
      </c>
    </row>
    <row r="138" customFormat="false" ht="15" hidden="false" customHeight="false" outlineLevel="0" collapsed="false">
      <c r="A138" s="8"/>
      <c r="B138" s="5"/>
      <c r="C138" s="5" t="s">
        <v>557</v>
      </c>
      <c r="D138" s="8" t="n">
        <v>150</v>
      </c>
      <c r="E138" s="9" t="n">
        <v>34</v>
      </c>
      <c r="F138" s="10" t="n">
        <v>4.5</v>
      </c>
      <c r="G138" s="10" t="n">
        <v>0.5</v>
      </c>
      <c r="H138" s="10" t="n">
        <v>5.7</v>
      </c>
    </row>
    <row r="139" customFormat="false" ht="15" hidden="false" customHeight="false" outlineLevel="0" collapsed="false">
      <c r="A139" s="8"/>
      <c r="B139" s="5"/>
      <c r="C139" s="5" t="s">
        <v>490</v>
      </c>
      <c r="D139" s="8" t="n">
        <v>8</v>
      </c>
      <c r="E139" s="9" t="n">
        <v>12</v>
      </c>
      <c r="F139" s="10" t="n">
        <v>0.5</v>
      </c>
      <c r="G139" s="10" t="n">
        <v>0</v>
      </c>
      <c r="H139" s="10" t="n">
        <v>2.6</v>
      </c>
    </row>
    <row r="140" customFormat="false" ht="15" hidden="false" customHeight="false" outlineLevel="0" collapsed="false">
      <c r="A140" s="8"/>
      <c r="B140" s="5"/>
      <c r="C140" s="5" t="s">
        <v>489</v>
      </c>
      <c r="D140" s="8" t="n">
        <v>15</v>
      </c>
      <c r="E140" s="9" t="n">
        <v>133</v>
      </c>
      <c r="F140" s="10" t="n">
        <v>0</v>
      </c>
      <c r="G140" s="10" t="n">
        <v>15</v>
      </c>
      <c r="H140" s="10" t="n">
        <v>0</v>
      </c>
    </row>
    <row r="141" customFormat="false" ht="15" hidden="false" customHeight="false" outlineLevel="0" collapsed="false">
      <c r="A141" s="8"/>
      <c r="B141" s="5"/>
      <c r="C141" s="5" t="s">
        <v>500</v>
      </c>
      <c r="D141" s="8" t="n">
        <v>20</v>
      </c>
      <c r="E141" s="9" t="n">
        <v>78</v>
      </c>
      <c r="F141" s="10" t="n">
        <v>7.2</v>
      </c>
      <c r="G141" s="10" t="n">
        <v>5.2</v>
      </c>
      <c r="H141" s="10" t="n">
        <v>0.6</v>
      </c>
    </row>
    <row r="142" customFormat="false" ht="15" hidden="false" customHeight="false" outlineLevel="0" collapsed="false">
      <c r="A142" s="3"/>
      <c r="B142" s="3"/>
      <c r="C142" s="15" t="s">
        <v>493</v>
      </c>
      <c r="D142" s="3"/>
      <c r="E142" s="16" t="n">
        <f aca="false">SUM(E136:E141)</f>
        <v>1065</v>
      </c>
      <c r="F142" s="17" t="n">
        <f aca="false">SUM(F136:F141)</f>
        <v>71.4</v>
      </c>
      <c r="G142" s="17" t="n">
        <f aca="false">SUM(G136:G141)</f>
        <v>24.9</v>
      </c>
      <c r="H142" s="17" t="n">
        <f aca="false">SUM(H136:H141)</f>
        <v>139</v>
      </c>
    </row>
    <row r="144" customFormat="false" ht="15" hidden="false" customHeight="false" outlineLevel="0" collapsed="false">
      <c r="A144" s="8" t="s">
        <v>558</v>
      </c>
      <c r="B144" s="5" t="s">
        <v>328</v>
      </c>
      <c r="C144" s="5" t="s">
        <v>559</v>
      </c>
      <c r="D144" s="8" t="n">
        <v>130</v>
      </c>
      <c r="E144" s="9" t="n">
        <v>239</v>
      </c>
      <c r="F144" s="10" t="n">
        <v>37.7</v>
      </c>
      <c r="G144" s="10" t="n">
        <v>8.2</v>
      </c>
      <c r="H144" s="10" t="n">
        <v>0</v>
      </c>
    </row>
    <row r="145" customFormat="false" ht="15" hidden="false" customHeight="false" outlineLevel="0" collapsed="false">
      <c r="A145" s="8"/>
      <c r="B145" s="5"/>
      <c r="C145" s="5" t="s">
        <v>486</v>
      </c>
      <c r="D145" s="8" t="n">
        <v>420</v>
      </c>
      <c r="E145" s="9" t="n">
        <v>546</v>
      </c>
      <c r="F145" s="10" t="n">
        <v>11.3</v>
      </c>
      <c r="G145" s="10" t="n">
        <v>1.3</v>
      </c>
      <c r="H145" s="10" t="n">
        <v>118.4</v>
      </c>
    </row>
    <row r="146" customFormat="false" ht="15" hidden="false" customHeight="false" outlineLevel="0" collapsed="false">
      <c r="A146" s="8"/>
      <c r="B146" s="5"/>
      <c r="C146" s="5" t="s">
        <v>560</v>
      </c>
      <c r="D146" s="8" t="n">
        <v>70</v>
      </c>
      <c r="E146" s="9" t="n">
        <v>85</v>
      </c>
      <c r="F146" s="10" t="n">
        <v>8.3</v>
      </c>
      <c r="G146" s="10" t="n">
        <v>3.6</v>
      </c>
      <c r="H146" s="10" t="n">
        <v>6.2</v>
      </c>
    </row>
    <row r="147" customFormat="false" ht="15" hidden="false" customHeight="false" outlineLevel="0" collapsed="false">
      <c r="A147" s="8"/>
      <c r="B147" s="5"/>
      <c r="C147" s="5" t="s">
        <v>561</v>
      </c>
      <c r="D147" s="8" t="n">
        <v>70</v>
      </c>
      <c r="E147" s="9" t="n">
        <v>112</v>
      </c>
      <c r="F147" s="10" t="n">
        <v>1.4</v>
      </c>
      <c r="G147" s="10" t="n">
        <v>10.3</v>
      </c>
      <c r="H147" s="10" t="n">
        <v>6</v>
      </c>
    </row>
    <row r="148" customFormat="false" ht="15" hidden="false" customHeight="false" outlineLevel="0" collapsed="false">
      <c r="A148" s="8"/>
      <c r="B148" s="5"/>
      <c r="C148" s="5" t="s">
        <v>542</v>
      </c>
      <c r="D148" s="8" t="n">
        <v>80</v>
      </c>
      <c r="E148" s="9" t="n">
        <v>12</v>
      </c>
      <c r="F148" s="10" t="n">
        <v>0.6</v>
      </c>
      <c r="G148" s="10" t="n">
        <v>0.1</v>
      </c>
      <c r="H148" s="10" t="n">
        <v>2.9</v>
      </c>
    </row>
    <row r="149" customFormat="false" ht="15" hidden="false" customHeight="false" outlineLevel="0" collapsed="false">
      <c r="A149" s="8"/>
      <c r="B149" s="5"/>
      <c r="C149" s="5" t="s">
        <v>492</v>
      </c>
      <c r="D149" s="8" t="n">
        <v>60</v>
      </c>
      <c r="E149" s="9" t="n">
        <v>21</v>
      </c>
      <c r="F149" s="10" t="n">
        <v>0.5</v>
      </c>
      <c r="G149" s="10" t="n">
        <v>0.1</v>
      </c>
      <c r="H149" s="10" t="n">
        <v>4.9</v>
      </c>
    </row>
    <row r="150" customFormat="false" ht="15" hidden="false" customHeight="false" outlineLevel="0" collapsed="false">
      <c r="A150" s="8"/>
      <c r="B150" s="5"/>
      <c r="C150" s="5" t="s">
        <v>488</v>
      </c>
      <c r="D150" s="8" t="n">
        <v>10</v>
      </c>
      <c r="E150" s="9" t="n">
        <v>30</v>
      </c>
      <c r="F150" s="10" t="n">
        <v>0</v>
      </c>
      <c r="G150" s="10" t="n">
        <v>0</v>
      </c>
      <c r="H150" s="10" t="n">
        <v>8.2</v>
      </c>
    </row>
    <row r="151" customFormat="false" ht="15" hidden="false" customHeight="false" outlineLevel="0" collapsed="false">
      <c r="A151" s="3"/>
      <c r="B151" s="3"/>
      <c r="C151" s="15" t="s">
        <v>493</v>
      </c>
      <c r="D151" s="3"/>
      <c r="E151" s="16" t="n">
        <f aca="false">SUM(E144:E150)</f>
        <v>1045</v>
      </c>
      <c r="F151" s="17" t="n">
        <f aca="false">SUM(F144:F150)</f>
        <v>59.8</v>
      </c>
      <c r="G151" s="17" t="n">
        <f aca="false">SUM(G144:G150)</f>
        <v>23.6</v>
      </c>
      <c r="H151" s="17" t="n">
        <f aca="false">SUM(H144:H150)</f>
        <v>146.6</v>
      </c>
    </row>
    <row r="153" customFormat="false" ht="15" hidden="false" customHeight="false" outlineLevel="0" collapsed="false">
      <c r="A153" s="8" t="s">
        <v>562</v>
      </c>
      <c r="B153" s="5" t="s">
        <v>333</v>
      </c>
      <c r="C153" s="5" t="s">
        <v>563</v>
      </c>
      <c r="D153" s="8" t="n">
        <v>130</v>
      </c>
      <c r="E153" s="9" t="n">
        <v>299</v>
      </c>
      <c r="F153" s="10" t="n">
        <v>18.2</v>
      </c>
      <c r="G153" s="10" t="n">
        <v>14.3</v>
      </c>
      <c r="H153" s="10" t="n">
        <v>24.7</v>
      </c>
    </row>
    <row r="154" customFormat="false" ht="15" hidden="false" customHeight="false" outlineLevel="0" collapsed="false">
      <c r="A154" s="8"/>
      <c r="B154" s="5"/>
      <c r="C154" s="5" t="s">
        <v>564</v>
      </c>
      <c r="D154" s="8" t="n">
        <v>480</v>
      </c>
      <c r="E154" s="9" t="n">
        <v>432</v>
      </c>
      <c r="F154" s="10" t="n">
        <v>9.6</v>
      </c>
      <c r="G154" s="10" t="n">
        <v>0.5</v>
      </c>
      <c r="H154" s="10" t="n">
        <v>99.4</v>
      </c>
    </row>
    <row r="155" customFormat="false" ht="15" hidden="false" customHeight="false" outlineLevel="0" collapsed="false">
      <c r="A155" s="8"/>
      <c r="B155" s="5"/>
      <c r="C155" s="5" t="s">
        <v>487</v>
      </c>
      <c r="D155" s="8" t="n">
        <v>180</v>
      </c>
      <c r="E155" s="9" t="n">
        <v>63</v>
      </c>
      <c r="F155" s="10" t="n">
        <v>4.3</v>
      </c>
      <c r="G155" s="10" t="n">
        <v>0.7</v>
      </c>
      <c r="H155" s="10" t="n">
        <v>13</v>
      </c>
    </row>
    <row r="156" customFormat="false" ht="15" hidden="false" customHeight="false" outlineLevel="0" collapsed="false">
      <c r="A156" s="8"/>
      <c r="B156" s="5"/>
      <c r="C156" s="5" t="s">
        <v>538</v>
      </c>
      <c r="D156" s="8" t="n">
        <v>15</v>
      </c>
      <c r="E156" s="9" t="n">
        <v>102</v>
      </c>
      <c r="F156" s="10" t="n">
        <v>0.1</v>
      </c>
      <c r="G156" s="10" t="n">
        <v>11.2</v>
      </c>
      <c r="H156" s="10" t="n">
        <v>0.2</v>
      </c>
    </row>
    <row r="157" customFormat="false" ht="15" hidden="false" customHeight="false" outlineLevel="0" collapsed="false">
      <c r="A157" s="3"/>
      <c r="B157" s="3"/>
      <c r="C157" s="15" t="s">
        <v>493</v>
      </c>
      <c r="D157" s="3"/>
      <c r="E157" s="16" t="n">
        <f aca="false">SUM(E153:E156)</f>
        <v>896</v>
      </c>
      <c r="F157" s="17" t="n">
        <f aca="false">SUM(F153:F156)</f>
        <v>32.2</v>
      </c>
      <c r="G157" s="17" t="n">
        <f aca="false">SUM(G153:G156)</f>
        <v>26.7</v>
      </c>
      <c r="H157" s="17" t="n">
        <f aca="false">SUM(H153:H156)</f>
        <v>137.3</v>
      </c>
    </row>
    <row r="159" customFormat="false" ht="15" hidden="false" customHeight="false" outlineLevel="0" collapsed="false">
      <c r="A159" s="8" t="s">
        <v>565</v>
      </c>
      <c r="B159" s="5" t="s">
        <v>338</v>
      </c>
      <c r="C159" s="5" t="s">
        <v>566</v>
      </c>
      <c r="D159" s="8" t="n">
        <v>110</v>
      </c>
      <c r="E159" s="9" t="n">
        <v>116</v>
      </c>
      <c r="F159" s="10" t="n">
        <v>25.3</v>
      </c>
      <c r="G159" s="10" t="n">
        <v>1</v>
      </c>
      <c r="H159" s="10" t="n">
        <v>0</v>
      </c>
    </row>
    <row r="160" customFormat="false" ht="15" hidden="false" customHeight="false" outlineLevel="0" collapsed="false">
      <c r="A160" s="8"/>
      <c r="B160" s="5"/>
      <c r="C160" s="5" t="s">
        <v>556</v>
      </c>
      <c r="D160" s="8" t="n">
        <v>85</v>
      </c>
      <c r="E160" s="9" t="n">
        <v>84</v>
      </c>
      <c r="F160" s="10" t="n">
        <v>20.4</v>
      </c>
      <c r="G160" s="10" t="n">
        <v>0.3</v>
      </c>
      <c r="H160" s="10" t="n">
        <v>0.2</v>
      </c>
    </row>
    <row r="161" customFormat="false" ht="15" hidden="false" customHeight="false" outlineLevel="0" collapsed="false">
      <c r="A161" s="8"/>
      <c r="B161" s="5"/>
      <c r="C161" s="5" t="s">
        <v>525</v>
      </c>
      <c r="D161" s="8" t="n">
        <v>400</v>
      </c>
      <c r="E161" s="9" t="n">
        <v>552</v>
      </c>
      <c r="F161" s="10" t="n">
        <v>18</v>
      </c>
      <c r="G161" s="10" t="n">
        <v>8.4</v>
      </c>
      <c r="H161" s="10" t="n">
        <v>100</v>
      </c>
    </row>
    <row r="162" customFormat="false" ht="15" hidden="false" customHeight="false" outlineLevel="0" collapsed="false">
      <c r="A162" s="8"/>
      <c r="B162" s="5"/>
      <c r="C162" s="5" t="s">
        <v>526</v>
      </c>
      <c r="D162" s="8" t="n">
        <v>200</v>
      </c>
      <c r="E162" s="9" t="n">
        <v>80</v>
      </c>
      <c r="F162" s="10" t="n">
        <v>4</v>
      </c>
      <c r="G162" s="10" t="n">
        <v>1</v>
      </c>
      <c r="H162" s="10" t="n">
        <v>13</v>
      </c>
    </row>
    <row r="163" customFormat="false" ht="15" hidden="false" customHeight="false" outlineLevel="0" collapsed="false">
      <c r="A163" s="8"/>
      <c r="B163" s="5"/>
      <c r="C163" s="5" t="s">
        <v>489</v>
      </c>
      <c r="D163" s="8" t="n">
        <v>12</v>
      </c>
      <c r="E163" s="9" t="n">
        <v>106</v>
      </c>
      <c r="F163" s="10" t="n">
        <v>0</v>
      </c>
      <c r="G163" s="10" t="n">
        <v>12</v>
      </c>
      <c r="H163" s="10" t="n">
        <v>0</v>
      </c>
    </row>
    <row r="164" customFormat="false" ht="15" hidden="false" customHeight="false" outlineLevel="0" collapsed="false">
      <c r="A164" s="8"/>
      <c r="B164" s="5"/>
      <c r="C164" s="5" t="s">
        <v>490</v>
      </c>
      <c r="D164" s="8" t="n">
        <v>6</v>
      </c>
      <c r="E164" s="9" t="n">
        <v>9</v>
      </c>
      <c r="F164" s="10" t="n">
        <v>0.4</v>
      </c>
      <c r="G164" s="10" t="n">
        <v>0</v>
      </c>
      <c r="H164" s="10" t="n">
        <v>2</v>
      </c>
    </row>
    <row r="165" customFormat="false" ht="15" hidden="false" customHeight="false" outlineLevel="0" collapsed="false">
      <c r="A165" s="3"/>
      <c r="B165" s="3"/>
      <c r="C165" s="15" t="s">
        <v>493</v>
      </c>
      <c r="D165" s="3"/>
      <c r="E165" s="16" t="n">
        <f aca="false">SUM(E159:E164)</f>
        <v>947</v>
      </c>
      <c r="F165" s="17" t="n">
        <f aca="false">SUM(F159:F164)</f>
        <v>68.1</v>
      </c>
      <c r="G165" s="17" t="n">
        <f aca="false">SUM(G159:G164)</f>
        <v>22.7</v>
      </c>
      <c r="H165" s="17" t="n">
        <f aca="false">SUM(H159:H164)</f>
        <v>115.2</v>
      </c>
    </row>
    <row r="167" customFormat="false" ht="15" hidden="false" customHeight="false" outlineLevel="0" collapsed="false">
      <c r="A167" s="8" t="s">
        <v>567</v>
      </c>
      <c r="B167" s="5" t="s">
        <v>343</v>
      </c>
      <c r="C167" s="5" t="s">
        <v>568</v>
      </c>
      <c r="D167" s="8" t="n">
        <v>115</v>
      </c>
      <c r="E167" s="9" t="n">
        <v>239</v>
      </c>
      <c r="F167" s="10" t="n">
        <v>25.3</v>
      </c>
      <c r="G167" s="10" t="n">
        <v>14.9</v>
      </c>
      <c r="H167" s="10" t="n">
        <v>0</v>
      </c>
    </row>
    <row r="168" customFormat="false" ht="15" hidden="false" customHeight="false" outlineLevel="0" collapsed="false">
      <c r="A168" s="8"/>
      <c r="B168" s="5"/>
      <c r="C168" s="5" t="s">
        <v>569</v>
      </c>
      <c r="D168" s="8" t="n">
        <v>400</v>
      </c>
      <c r="E168" s="9" t="n">
        <v>632</v>
      </c>
      <c r="F168" s="10" t="n">
        <v>23.2</v>
      </c>
      <c r="G168" s="10" t="n">
        <v>4.8</v>
      </c>
      <c r="H168" s="10" t="n">
        <v>122</v>
      </c>
    </row>
    <row r="169" customFormat="false" ht="15" hidden="false" customHeight="false" outlineLevel="0" collapsed="false">
      <c r="A169" s="8"/>
      <c r="B169" s="5"/>
      <c r="C169" s="5" t="s">
        <v>570</v>
      </c>
      <c r="D169" s="8" t="n">
        <v>120</v>
      </c>
      <c r="E169" s="9" t="n">
        <v>20</v>
      </c>
      <c r="F169" s="10" t="n">
        <v>1.4</v>
      </c>
      <c r="G169" s="10" t="n">
        <v>0.4</v>
      </c>
      <c r="H169" s="10" t="n">
        <v>3.7</v>
      </c>
    </row>
    <row r="170" customFormat="false" ht="15" hidden="false" customHeight="false" outlineLevel="0" collapsed="false">
      <c r="A170" s="8"/>
      <c r="B170" s="5"/>
      <c r="C170" s="5" t="s">
        <v>557</v>
      </c>
      <c r="D170" s="8" t="n">
        <v>100</v>
      </c>
      <c r="E170" s="9" t="n">
        <v>23</v>
      </c>
      <c r="F170" s="10" t="n">
        <v>3</v>
      </c>
      <c r="G170" s="10" t="n">
        <v>0.3</v>
      </c>
      <c r="H170" s="10" t="n">
        <v>3.8</v>
      </c>
    </row>
    <row r="171" customFormat="false" ht="15" hidden="false" customHeight="false" outlineLevel="0" collapsed="false">
      <c r="A171" s="8"/>
      <c r="B171" s="5"/>
      <c r="C171" s="5" t="s">
        <v>489</v>
      </c>
      <c r="D171" s="8" t="n">
        <v>8</v>
      </c>
      <c r="E171" s="9" t="n">
        <v>71</v>
      </c>
      <c r="F171" s="10" t="n">
        <v>0</v>
      </c>
      <c r="G171" s="10" t="n">
        <v>8</v>
      </c>
      <c r="H171" s="10" t="n">
        <v>0</v>
      </c>
    </row>
    <row r="172" customFormat="false" ht="15" hidden="false" customHeight="false" outlineLevel="0" collapsed="false">
      <c r="A172" s="8"/>
      <c r="B172" s="5"/>
      <c r="C172" s="5" t="s">
        <v>500</v>
      </c>
      <c r="D172" s="8" t="n">
        <v>15</v>
      </c>
      <c r="E172" s="9" t="n">
        <v>59</v>
      </c>
      <c r="F172" s="10" t="n">
        <v>5.4</v>
      </c>
      <c r="G172" s="10" t="n">
        <v>3.9</v>
      </c>
      <c r="H172" s="10" t="n">
        <v>0.5</v>
      </c>
    </row>
    <row r="173" customFormat="false" ht="15" hidden="false" customHeight="false" outlineLevel="0" collapsed="false">
      <c r="A173" s="3"/>
      <c r="B173" s="3"/>
      <c r="C173" s="15" t="s">
        <v>493</v>
      </c>
      <c r="D173" s="3"/>
      <c r="E173" s="16" t="n">
        <f aca="false">SUM(E167:E172)</f>
        <v>1044</v>
      </c>
      <c r="F173" s="17" t="n">
        <f aca="false">SUM(F167:F172)</f>
        <v>58.3</v>
      </c>
      <c r="G173" s="17" t="n">
        <f aca="false">SUM(G167:G172)</f>
        <v>32.3</v>
      </c>
      <c r="H173" s="17" t="n">
        <f aca="false">SUM(H167:H172)</f>
        <v>130</v>
      </c>
    </row>
    <row r="175" customFormat="false" ht="15" hidden="false" customHeight="false" outlineLevel="0" collapsed="false">
      <c r="A175" s="8" t="s">
        <v>571</v>
      </c>
      <c r="B175" s="5" t="s">
        <v>348</v>
      </c>
      <c r="C175" s="5" t="s">
        <v>572</v>
      </c>
      <c r="D175" s="8" t="n">
        <v>130</v>
      </c>
      <c r="E175" s="9" t="n">
        <v>186</v>
      </c>
      <c r="F175" s="10" t="n">
        <v>16.4</v>
      </c>
      <c r="G175" s="10" t="n">
        <v>12.3</v>
      </c>
      <c r="H175" s="10" t="n">
        <v>0.9</v>
      </c>
    </row>
    <row r="176" customFormat="false" ht="15" hidden="false" customHeight="false" outlineLevel="0" collapsed="false">
      <c r="A176" s="8"/>
      <c r="B176" s="5"/>
      <c r="C176" s="5" t="s">
        <v>508</v>
      </c>
      <c r="D176" s="8" t="n">
        <v>300</v>
      </c>
      <c r="E176" s="9" t="n">
        <v>96</v>
      </c>
      <c r="F176" s="10" t="n">
        <v>4.8</v>
      </c>
      <c r="G176" s="10" t="n">
        <v>0.9</v>
      </c>
      <c r="H176" s="10" t="n">
        <v>21</v>
      </c>
    </row>
    <row r="177" customFormat="false" ht="15" hidden="false" customHeight="false" outlineLevel="0" collapsed="false">
      <c r="A177" s="8"/>
      <c r="B177" s="5"/>
      <c r="C177" s="5" t="s">
        <v>513</v>
      </c>
      <c r="D177" s="8" t="n">
        <v>150</v>
      </c>
      <c r="E177" s="9" t="n">
        <v>46</v>
      </c>
      <c r="F177" s="10" t="n">
        <v>1.5</v>
      </c>
      <c r="G177" s="10" t="n">
        <v>0.5</v>
      </c>
      <c r="H177" s="10" t="n">
        <v>9</v>
      </c>
    </row>
    <row r="178" customFormat="false" ht="15" hidden="false" customHeight="false" outlineLevel="0" collapsed="false">
      <c r="A178" s="8"/>
      <c r="B178" s="5"/>
      <c r="C178" s="5" t="s">
        <v>499</v>
      </c>
      <c r="D178" s="8" t="n">
        <v>60</v>
      </c>
      <c r="E178" s="9" t="n">
        <v>33</v>
      </c>
      <c r="F178" s="10" t="n">
        <v>0.7</v>
      </c>
      <c r="G178" s="10" t="n">
        <v>1.5</v>
      </c>
      <c r="H178" s="10" t="n">
        <v>4.6</v>
      </c>
    </row>
    <row r="179" customFormat="false" ht="15" hidden="false" customHeight="false" outlineLevel="0" collapsed="false">
      <c r="A179" s="8"/>
      <c r="B179" s="5"/>
      <c r="C179" s="5" t="s">
        <v>573</v>
      </c>
      <c r="D179" s="8" t="n">
        <v>150</v>
      </c>
      <c r="E179" s="9" t="n">
        <v>370</v>
      </c>
      <c r="F179" s="10" t="n">
        <v>14.2</v>
      </c>
      <c r="G179" s="10" t="n">
        <v>5.2</v>
      </c>
      <c r="H179" s="10" t="n">
        <v>58.5</v>
      </c>
    </row>
    <row r="180" customFormat="false" ht="15" hidden="false" customHeight="false" outlineLevel="0" collapsed="false">
      <c r="A180" s="8"/>
      <c r="B180" s="5"/>
      <c r="C180" s="5" t="s">
        <v>489</v>
      </c>
      <c r="D180" s="8" t="n">
        <v>12</v>
      </c>
      <c r="E180" s="9" t="n">
        <v>106</v>
      </c>
      <c r="F180" s="10" t="n">
        <v>0</v>
      </c>
      <c r="G180" s="10" t="n">
        <v>12</v>
      </c>
      <c r="H180" s="10" t="n">
        <v>0</v>
      </c>
    </row>
    <row r="181" customFormat="false" ht="15" hidden="false" customHeight="false" outlineLevel="0" collapsed="false">
      <c r="A181" s="8"/>
      <c r="B181" s="5"/>
      <c r="C181" s="5" t="s">
        <v>574</v>
      </c>
      <c r="D181" s="8" t="n">
        <v>40</v>
      </c>
      <c r="E181" s="9" t="n">
        <v>106</v>
      </c>
      <c r="F181" s="10" t="n">
        <v>5.7</v>
      </c>
      <c r="G181" s="10" t="n">
        <v>8.5</v>
      </c>
      <c r="H181" s="10" t="n">
        <v>1.6</v>
      </c>
    </row>
    <row r="182" customFormat="false" ht="15" hidden="false" customHeight="false" outlineLevel="0" collapsed="false">
      <c r="A182" s="3"/>
      <c r="B182" s="3"/>
      <c r="C182" s="15" t="s">
        <v>493</v>
      </c>
      <c r="D182" s="3"/>
      <c r="E182" s="16" t="n">
        <f aca="false">SUM(E175:E181)</f>
        <v>943</v>
      </c>
      <c r="F182" s="17" t="n">
        <f aca="false">SUM(F175:F181)</f>
        <v>43.3</v>
      </c>
      <c r="G182" s="17" t="n">
        <f aca="false">SUM(G175:G181)</f>
        <v>40.9</v>
      </c>
      <c r="H182" s="17" t="n">
        <f aca="false">SUM(H175:H181)</f>
        <v>95.6</v>
      </c>
    </row>
    <row r="184" customFormat="false" ht="15" hidden="false" customHeight="false" outlineLevel="0" collapsed="false">
      <c r="A184" s="8" t="s">
        <v>575</v>
      </c>
      <c r="B184" s="5" t="s">
        <v>353</v>
      </c>
      <c r="C184" s="5" t="s">
        <v>497</v>
      </c>
      <c r="D184" s="8" t="n">
        <v>130</v>
      </c>
      <c r="E184" s="9" t="n">
        <v>332</v>
      </c>
      <c r="F184" s="10" t="n">
        <v>28.6</v>
      </c>
      <c r="G184" s="10" t="n">
        <v>22.1</v>
      </c>
      <c r="H184" s="10" t="n">
        <v>5.2</v>
      </c>
    </row>
    <row r="185" customFormat="false" ht="15" hidden="false" customHeight="false" outlineLevel="0" collapsed="false">
      <c r="A185" s="8"/>
      <c r="B185" s="5"/>
      <c r="C185" s="5" t="s">
        <v>492</v>
      </c>
      <c r="D185" s="8" t="n">
        <v>120</v>
      </c>
      <c r="E185" s="9" t="n">
        <v>42</v>
      </c>
      <c r="F185" s="10" t="n">
        <v>1</v>
      </c>
      <c r="G185" s="10" t="n">
        <v>0.2</v>
      </c>
      <c r="H185" s="10" t="n">
        <v>9.8</v>
      </c>
    </row>
    <row r="186" customFormat="false" ht="15" hidden="false" customHeight="false" outlineLevel="0" collapsed="false">
      <c r="A186" s="8"/>
      <c r="B186" s="5"/>
      <c r="C186" s="5" t="s">
        <v>576</v>
      </c>
      <c r="D186" s="8" t="n">
        <v>100</v>
      </c>
      <c r="E186" s="9" t="n">
        <v>84</v>
      </c>
      <c r="F186" s="10" t="n">
        <v>5.4</v>
      </c>
      <c r="G186" s="10" t="n">
        <v>0.2</v>
      </c>
      <c r="H186" s="10" t="n">
        <v>15.6</v>
      </c>
    </row>
    <row r="187" customFormat="false" ht="15" hidden="false" customHeight="false" outlineLevel="0" collapsed="false">
      <c r="A187" s="8"/>
      <c r="B187" s="5"/>
      <c r="C187" s="5" t="s">
        <v>577</v>
      </c>
      <c r="D187" s="8" t="n">
        <v>120</v>
      </c>
      <c r="E187" s="9" t="n">
        <v>28</v>
      </c>
      <c r="F187" s="10" t="n">
        <v>2.2</v>
      </c>
      <c r="G187" s="10" t="n">
        <v>0.6</v>
      </c>
      <c r="H187" s="10" t="n">
        <v>4.9</v>
      </c>
    </row>
    <row r="188" customFormat="false" ht="15" hidden="false" customHeight="false" outlineLevel="0" collapsed="false">
      <c r="A188" s="8"/>
      <c r="B188" s="5"/>
      <c r="C188" s="5" t="s">
        <v>498</v>
      </c>
      <c r="D188" s="8" t="n">
        <v>80</v>
      </c>
      <c r="E188" s="9" t="n">
        <v>66</v>
      </c>
      <c r="F188" s="10" t="n">
        <v>3.4</v>
      </c>
      <c r="G188" s="10" t="n">
        <v>0.4</v>
      </c>
      <c r="H188" s="10" t="n">
        <v>15.1</v>
      </c>
    </row>
    <row r="189" customFormat="false" ht="15" hidden="false" customHeight="false" outlineLevel="0" collapsed="false">
      <c r="A189" s="8"/>
      <c r="B189" s="5"/>
      <c r="C189" s="5" t="s">
        <v>573</v>
      </c>
      <c r="D189" s="8" t="n">
        <v>150</v>
      </c>
      <c r="E189" s="9" t="n">
        <v>370</v>
      </c>
      <c r="F189" s="10" t="n">
        <v>14.2</v>
      </c>
      <c r="G189" s="10" t="n">
        <v>5.2</v>
      </c>
      <c r="H189" s="10" t="n">
        <v>58.5</v>
      </c>
    </row>
    <row r="190" customFormat="false" ht="15" hidden="false" customHeight="false" outlineLevel="0" collapsed="false">
      <c r="A190" s="8"/>
      <c r="B190" s="5"/>
      <c r="C190" s="5" t="s">
        <v>489</v>
      </c>
      <c r="D190" s="8" t="n">
        <v>10</v>
      </c>
      <c r="E190" s="9" t="n">
        <v>88</v>
      </c>
      <c r="F190" s="10" t="n">
        <v>0</v>
      </c>
      <c r="G190" s="10" t="n">
        <v>10</v>
      </c>
      <c r="H190" s="10" t="n">
        <v>0</v>
      </c>
    </row>
    <row r="191" customFormat="false" ht="15" hidden="false" customHeight="false" outlineLevel="0" collapsed="false">
      <c r="A191" s="8"/>
      <c r="B191" s="5"/>
      <c r="C191" s="5" t="s">
        <v>505</v>
      </c>
      <c r="D191" s="8" t="n">
        <v>8</v>
      </c>
      <c r="E191" s="9" t="n">
        <v>57</v>
      </c>
      <c r="F191" s="10" t="n">
        <v>0.1</v>
      </c>
      <c r="G191" s="10" t="n">
        <v>6.5</v>
      </c>
      <c r="H191" s="10" t="n">
        <v>0</v>
      </c>
    </row>
    <row r="192" customFormat="false" ht="15" hidden="false" customHeight="false" outlineLevel="0" collapsed="false">
      <c r="A192" s="3"/>
      <c r="B192" s="3"/>
      <c r="C192" s="15" t="s">
        <v>493</v>
      </c>
      <c r="D192" s="3"/>
      <c r="E192" s="16" t="n">
        <f aca="false">SUM(E184:E191)</f>
        <v>1067</v>
      </c>
      <c r="F192" s="17" t="n">
        <f aca="false">SUM(F184:F191)</f>
        <v>54.9</v>
      </c>
      <c r="G192" s="17" t="n">
        <f aca="false">SUM(G184:G191)</f>
        <v>45.2</v>
      </c>
      <c r="H192" s="17" t="n">
        <f aca="false">SUM(H184:H191)</f>
        <v>109.1</v>
      </c>
    </row>
    <row r="194" customFormat="false" ht="15" hidden="false" customHeight="false" outlineLevel="0" collapsed="false">
      <c r="A194" s="8" t="s">
        <v>578</v>
      </c>
      <c r="B194" s="5" t="s">
        <v>358</v>
      </c>
      <c r="C194" s="5" t="s">
        <v>498</v>
      </c>
      <c r="D194" s="8" t="n">
        <v>200</v>
      </c>
      <c r="E194" s="9" t="n">
        <v>164</v>
      </c>
      <c r="F194" s="10" t="n">
        <v>8.6</v>
      </c>
      <c r="G194" s="10" t="n">
        <v>1</v>
      </c>
      <c r="H194" s="10" t="n">
        <v>37.8</v>
      </c>
    </row>
    <row r="195" customFormat="false" ht="15" hidden="false" customHeight="false" outlineLevel="0" collapsed="false">
      <c r="A195" s="8"/>
      <c r="B195" s="5"/>
      <c r="C195" s="5" t="s">
        <v>508</v>
      </c>
      <c r="D195" s="8" t="n">
        <v>200</v>
      </c>
      <c r="E195" s="9" t="n">
        <v>64</v>
      </c>
      <c r="F195" s="10" t="n">
        <v>3.2</v>
      </c>
      <c r="G195" s="10" t="n">
        <v>0.6</v>
      </c>
      <c r="H195" s="10" t="n">
        <v>14</v>
      </c>
    </row>
    <row r="196" customFormat="false" ht="15" hidden="false" customHeight="false" outlineLevel="0" collapsed="false">
      <c r="A196" s="8"/>
      <c r="B196" s="5"/>
      <c r="C196" s="5" t="s">
        <v>497</v>
      </c>
      <c r="D196" s="8" t="n">
        <v>85</v>
      </c>
      <c r="E196" s="9" t="n">
        <v>217</v>
      </c>
      <c r="F196" s="10" t="n">
        <v>18.7</v>
      </c>
      <c r="G196" s="10" t="n">
        <v>14.4</v>
      </c>
      <c r="H196" s="10" t="n">
        <v>3.4</v>
      </c>
    </row>
    <row r="197" customFormat="false" ht="15" hidden="false" customHeight="false" outlineLevel="0" collapsed="false">
      <c r="A197" s="8"/>
      <c r="B197" s="5"/>
      <c r="C197" s="5" t="s">
        <v>573</v>
      </c>
      <c r="D197" s="8" t="n">
        <v>180</v>
      </c>
      <c r="E197" s="9" t="n">
        <v>445</v>
      </c>
      <c r="F197" s="10" t="n">
        <v>17.1</v>
      </c>
      <c r="G197" s="10" t="n">
        <v>6.3</v>
      </c>
      <c r="H197" s="10" t="n">
        <v>70.2</v>
      </c>
    </row>
    <row r="198" customFormat="false" ht="15" hidden="false" customHeight="false" outlineLevel="0" collapsed="false">
      <c r="A198" s="8"/>
      <c r="B198" s="5"/>
      <c r="C198" s="5" t="s">
        <v>540</v>
      </c>
      <c r="D198" s="8" t="n">
        <v>60</v>
      </c>
      <c r="E198" s="9" t="n">
        <v>198</v>
      </c>
      <c r="F198" s="10" t="n">
        <v>16.8</v>
      </c>
      <c r="G198" s="10" t="n">
        <v>13.8</v>
      </c>
      <c r="H198" s="10" t="n">
        <v>0.6</v>
      </c>
    </row>
    <row r="199" customFormat="false" ht="15" hidden="false" customHeight="false" outlineLevel="0" collapsed="false">
      <c r="A199" s="8"/>
      <c r="B199" s="5"/>
      <c r="C199" s="5" t="s">
        <v>505</v>
      </c>
      <c r="D199" s="8" t="n">
        <v>10</v>
      </c>
      <c r="E199" s="9" t="n">
        <v>72</v>
      </c>
      <c r="F199" s="10" t="n">
        <v>0.1</v>
      </c>
      <c r="G199" s="10" t="n">
        <v>8.1</v>
      </c>
      <c r="H199" s="10" t="n">
        <v>0</v>
      </c>
    </row>
    <row r="200" customFormat="false" ht="15" hidden="false" customHeight="false" outlineLevel="0" collapsed="false">
      <c r="A200" s="8"/>
      <c r="B200" s="5"/>
      <c r="C200" s="5" t="s">
        <v>541</v>
      </c>
      <c r="D200" s="8" t="n">
        <v>100</v>
      </c>
      <c r="E200" s="9" t="n">
        <v>46</v>
      </c>
      <c r="F200" s="10" t="n">
        <v>3.4</v>
      </c>
      <c r="G200" s="10" t="n">
        <v>1.5</v>
      </c>
      <c r="H200" s="10" t="n">
        <v>4.7</v>
      </c>
    </row>
    <row r="201" customFormat="false" ht="15" hidden="false" customHeight="false" outlineLevel="0" collapsed="false">
      <c r="A201" s="3"/>
      <c r="B201" s="3"/>
      <c r="C201" s="15" t="s">
        <v>493</v>
      </c>
      <c r="D201" s="3"/>
      <c r="E201" s="16" t="n">
        <f aca="false">SUM(E194:E200)</f>
        <v>1206</v>
      </c>
      <c r="F201" s="17" t="n">
        <f aca="false">SUM(F194:F200)</f>
        <v>67.9</v>
      </c>
      <c r="G201" s="17" t="n">
        <f aca="false">SUM(G194:G200)</f>
        <v>45.7</v>
      </c>
      <c r="H201" s="17" t="n">
        <f aca="false">SUM(H194:H200)</f>
        <v>130.7</v>
      </c>
    </row>
    <row r="203" customFormat="false" ht="15" hidden="false" customHeight="false" outlineLevel="0" collapsed="false">
      <c r="A203" s="8" t="s">
        <v>579</v>
      </c>
      <c r="B203" s="5" t="s">
        <v>363</v>
      </c>
      <c r="C203" s="5" t="s">
        <v>572</v>
      </c>
      <c r="D203" s="8" t="n">
        <v>145</v>
      </c>
      <c r="E203" s="9" t="n">
        <v>207</v>
      </c>
      <c r="F203" s="10" t="n">
        <v>18.3</v>
      </c>
      <c r="G203" s="10" t="n">
        <v>13.8</v>
      </c>
      <c r="H203" s="10" t="n">
        <v>1</v>
      </c>
    </row>
    <row r="204" customFormat="false" ht="15" hidden="false" customHeight="false" outlineLevel="0" collapsed="false">
      <c r="A204" s="8"/>
      <c r="B204" s="5"/>
      <c r="C204" s="5" t="s">
        <v>580</v>
      </c>
      <c r="D204" s="8" t="n">
        <v>70</v>
      </c>
      <c r="E204" s="9" t="n">
        <v>36</v>
      </c>
      <c r="F204" s="10" t="n">
        <v>7.6</v>
      </c>
      <c r="G204" s="10" t="n">
        <v>0.1</v>
      </c>
      <c r="H204" s="10" t="n">
        <v>0.5</v>
      </c>
    </row>
    <row r="205" customFormat="false" ht="15" hidden="false" customHeight="false" outlineLevel="0" collapsed="false">
      <c r="A205" s="8"/>
      <c r="B205" s="5"/>
      <c r="C205" s="5" t="s">
        <v>574</v>
      </c>
      <c r="D205" s="8" t="n">
        <v>50</v>
      </c>
      <c r="E205" s="9" t="n">
        <v>132</v>
      </c>
      <c r="F205" s="10" t="n">
        <v>7.1</v>
      </c>
      <c r="G205" s="10" t="n">
        <v>10.7</v>
      </c>
      <c r="H205" s="10" t="n">
        <v>2</v>
      </c>
    </row>
    <row r="206" customFormat="false" ht="15" hidden="false" customHeight="false" outlineLevel="0" collapsed="false">
      <c r="A206" s="8"/>
      <c r="B206" s="5"/>
      <c r="C206" s="5" t="s">
        <v>557</v>
      </c>
      <c r="D206" s="8" t="n">
        <v>150</v>
      </c>
      <c r="E206" s="9" t="n">
        <v>34</v>
      </c>
      <c r="F206" s="10" t="n">
        <v>4.5</v>
      </c>
      <c r="G206" s="10" t="n">
        <v>0.5</v>
      </c>
      <c r="H206" s="10" t="n">
        <v>5.7</v>
      </c>
    </row>
    <row r="207" customFormat="false" ht="15" hidden="false" customHeight="false" outlineLevel="0" collapsed="false">
      <c r="A207" s="8"/>
      <c r="B207" s="5"/>
      <c r="C207" s="5" t="s">
        <v>537</v>
      </c>
      <c r="D207" s="8" t="n">
        <v>80</v>
      </c>
      <c r="E207" s="9" t="n">
        <v>14</v>
      </c>
      <c r="F207" s="10" t="n">
        <v>0.7</v>
      </c>
      <c r="G207" s="10" t="n">
        <v>0.2</v>
      </c>
      <c r="H207" s="10" t="n">
        <v>3.1</v>
      </c>
    </row>
    <row r="208" customFormat="false" ht="15" hidden="false" customHeight="false" outlineLevel="0" collapsed="false">
      <c r="A208" s="8"/>
      <c r="B208" s="5"/>
      <c r="C208" s="5" t="s">
        <v>573</v>
      </c>
      <c r="D208" s="8" t="n">
        <v>180</v>
      </c>
      <c r="E208" s="9" t="n">
        <v>445</v>
      </c>
      <c r="F208" s="10" t="n">
        <v>17.1</v>
      </c>
      <c r="G208" s="10" t="n">
        <v>6.3</v>
      </c>
      <c r="H208" s="10" t="n">
        <v>70.2</v>
      </c>
    </row>
    <row r="209" customFormat="false" ht="15" hidden="false" customHeight="false" outlineLevel="0" collapsed="false">
      <c r="A209" s="8"/>
      <c r="B209" s="5"/>
      <c r="C209" s="5" t="s">
        <v>489</v>
      </c>
      <c r="D209" s="8" t="n">
        <v>10</v>
      </c>
      <c r="E209" s="9" t="n">
        <v>88</v>
      </c>
      <c r="F209" s="10" t="n">
        <v>0</v>
      </c>
      <c r="G209" s="10" t="n">
        <v>10</v>
      </c>
      <c r="H209" s="10" t="n">
        <v>0</v>
      </c>
    </row>
    <row r="210" customFormat="false" ht="15" hidden="false" customHeight="false" outlineLevel="0" collapsed="false">
      <c r="A210" s="3"/>
      <c r="B210" s="3"/>
      <c r="C210" s="15" t="s">
        <v>493</v>
      </c>
      <c r="D210" s="3"/>
      <c r="E210" s="16" t="n">
        <f aca="false">SUM(E203:E209)</f>
        <v>956</v>
      </c>
      <c r="F210" s="17" t="n">
        <f aca="false">SUM(F203:F209)</f>
        <v>55.3</v>
      </c>
      <c r="G210" s="17" t="n">
        <f aca="false">SUM(G203:G209)</f>
        <v>41.6</v>
      </c>
      <c r="H210" s="17" t="n">
        <f aca="false">SUM(H203:H209)</f>
        <v>82.5</v>
      </c>
    </row>
    <row r="212" customFormat="false" ht="15" hidden="false" customHeight="false" outlineLevel="0" collapsed="false">
      <c r="A212" s="8" t="s">
        <v>581</v>
      </c>
      <c r="B212" s="5" t="s">
        <v>368</v>
      </c>
      <c r="C212" s="5" t="s">
        <v>560</v>
      </c>
      <c r="D212" s="8" t="n">
        <v>130</v>
      </c>
      <c r="E212" s="9" t="n">
        <v>159</v>
      </c>
      <c r="F212" s="10" t="n">
        <v>15.5</v>
      </c>
      <c r="G212" s="10" t="n">
        <v>6.8</v>
      </c>
      <c r="H212" s="10" t="n">
        <v>11.6</v>
      </c>
    </row>
    <row r="213" customFormat="false" ht="15" hidden="false" customHeight="false" outlineLevel="0" collapsed="false">
      <c r="A213" s="8"/>
      <c r="B213" s="5"/>
      <c r="C213" s="5" t="s">
        <v>512</v>
      </c>
      <c r="D213" s="8" t="n">
        <v>420</v>
      </c>
      <c r="E213" s="9" t="n">
        <v>504</v>
      </c>
      <c r="F213" s="10" t="n">
        <v>18.5</v>
      </c>
      <c r="G213" s="10" t="n">
        <v>8</v>
      </c>
      <c r="H213" s="10" t="n">
        <v>89.5</v>
      </c>
    </row>
    <row r="214" customFormat="false" ht="15" hidden="false" customHeight="false" outlineLevel="0" collapsed="false">
      <c r="A214" s="8"/>
      <c r="B214" s="5"/>
      <c r="C214" s="5" t="s">
        <v>574</v>
      </c>
      <c r="D214" s="8" t="n">
        <v>60</v>
      </c>
      <c r="E214" s="9" t="n">
        <v>158</v>
      </c>
      <c r="F214" s="10" t="n">
        <v>8.5</v>
      </c>
      <c r="G214" s="10" t="n">
        <v>12.8</v>
      </c>
      <c r="H214" s="10" t="n">
        <v>2.5</v>
      </c>
    </row>
    <row r="215" customFormat="false" ht="15" hidden="false" customHeight="false" outlineLevel="0" collapsed="false">
      <c r="A215" s="8"/>
      <c r="B215" s="5"/>
      <c r="C215" s="5" t="s">
        <v>513</v>
      </c>
      <c r="D215" s="8" t="n">
        <v>120</v>
      </c>
      <c r="E215" s="9" t="n">
        <v>37</v>
      </c>
      <c r="F215" s="10" t="n">
        <v>1.2</v>
      </c>
      <c r="G215" s="10" t="n">
        <v>0.4</v>
      </c>
      <c r="H215" s="10" t="n">
        <v>7.2</v>
      </c>
    </row>
    <row r="216" customFormat="false" ht="15" hidden="false" customHeight="false" outlineLevel="0" collapsed="false">
      <c r="A216" s="8"/>
      <c r="B216" s="5"/>
      <c r="C216" s="5" t="s">
        <v>542</v>
      </c>
      <c r="D216" s="8" t="n">
        <v>100</v>
      </c>
      <c r="E216" s="9" t="n">
        <v>15</v>
      </c>
      <c r="F216" s="10" t="n">
        <v>0.7</v>
      </c>
      <c r="G216" s="10" t="n">
        <v>0.1</v>
      </c>
      <c r="H216" s="10" t="n">
        <v>3.6</v>
      </c>
    </row>
    <row r="217" customFormat="false" ht="15" hidden="false" customHeight="false" outlineLevel="0" collapsed="false">
      <c r="A217" s="8"/>
      <c r="B217" s="5"/>
      <c r="C217" s="5" t="s">
        <v>489</v>
      </c>
      <c r="D217" s="8" t="n">
        <v>15</v>
      </c>
      <c r="E217" s="9" t="n">
        <v>133</v>
      </c>
      <c r="F217" s="10" t="n">
        <v>0</v>
      </c>
      <c r="G217" s="10" t="n">
        <v>15</v>
      </c>
      <c r="H217" s="10" t="n">
        <v>0</v>
      </c>
    </row>
    <row r="218" customFormat="false" ht="15" hidden="false" customHeight="false" outlineLevel="0" collapsed="false">
      <c r="A218" s="8"/>
      <c r="B218" s="5"/>
      <c r="C218" s="5" t="s">
        <v>514</v>
      </c>
      <c r="D218" s="8" t="n">
        <v>10</v>
      </c>
      <c r="E218" s="9" t="n">
        <v>2</v>
      </c>
      <c r="F218" s="10" t="n">
        <v>0</v>
      </c>
      <c r="G218" s="10" t="n">
        <v>0</v>
      </c>
      <c r="H218" s="10" t="n">
        <v>0.7</v>
      </c>
    </row>
    <row r="219" customFormat="false" ht="15" hidden="false" customHeight="false" outlineLevel="0" collapsed="false">
      <c r="A219" s="8"/>
      <c r="B219" s="5"/>
      <c r="C219" s="5" t="s">
        <v>485</v>
      </c>
      <c r="D219" s="8" t="n">
        <v>70</v>
      </c>
      <c r="E219" s="9" t="n">
        <v>116</v>
      </c>
      <c r="F219" s="10" t="n">
        <v>21.7</v>
      </c>
      <c r="G219" s="10" t="n">
        <v>2.5</v>
      </c>
      <c r="H219" s="10" t="n">
        <v>0</v>
      </c>
    </row>
    <row r="220" customFormat="false" ht="15" hidden="false" customHeight="false" outlineLevel="0" collapsed="false">
      <c r="A220" s="3"/>
      <c r="B220" s="3"/>
      <c r="C220" s="15" t="s">
        <v>493</v>
      </c>
      <c r="D220" s="3"/>
      <c r="E220" s="16" t="n">
        <f aca="false">SUM(E212:E219)</f>
        <v>1124</v>
      </c>
      <c r="F220" s="17" t="n">
        <f aca="false">SUM(F212:F219)</f>
        <v>66.1</v>
      </c>
      <c r="G220" s="17" t="n">
        <f aca="false">SUM(G212:G219)</f>
        <v>45.6</v>
      </c>
      <c r="H220" s="17" t="n">
        <f aca="false">SUM(H212:H219)</f>
        <v>115.1</v>
      </c>
    </row>
    <row r="222" customFormat="false" ht="15" hidden="false" customHeight="false" outlineLevel="0" collapsed="false">
      <c r="A222" s="8" t="s">
        <v>582</v>
      </c>
      <c r="B222" s="5" t="s">
        <v>373</v>
      </c>
      <c r="C222" s="5" t="s">
        <v>568</v>
      </c>
      <c r="D222" s="8" t="n">
        <v>130</v>
      </c>
      <c r="E222" s="9" t="n">
        <v>270</v>
      </c>
      <c r="F222" s="10" t="n">
        <v>28.6</v>
      </c>
      <c r="G222" s="10" t="n">
        <v>16.9</v>
      </c>
      <c r="H222" s="10" t="n">
        <v>0</v>
      </c>
    </row>
    <row r="223" customFormat="false" ht="15" hidden="false" customHeight="false" outlineLevel="0" collapsed="false">
      <c r="A223" s="8"/>
      <c r="B223" s="5"/>
      <c r="C223" s="5" t="s">
        <v>517</v>
      </c>
      <c r="D223" s="8" t="n">
        <v>500</v>
      </c>
      <c r="E223" s="9" t="n">
        <v>525</v>
      </c>
      <c r="F223" s="10" t="n">
        <v>11.5</v>
      </c>
      <c r="G223" s="10" t="n">
        <v>12.5</v>
      </c>
      <c r="H223" s="10" t="n">
        <v>87.5</v>
      </c>
    </row>
    <row r="224" customFormat="false" ht="15" hidden="false" customHeight="false" outlineLevel="0" collapsed="false">
      <c r="A224" s="8"/>
      <c r="B224" s="5"/>
      <c r="C224" s="5" t="s">
        <v>583</v>
      </c>
      <c r="D224" s="8" t="n">
        <v>200</v>
      </c>
      <c r="E224" s="9" t="n">
        <v>44</v>
      </c>
      <c r="F224" s="10" t="n">
        <v>4.8</v>
      </c>
      <c r="G224" s="10" t="n">
        <v>0.4</v>
      </c>
      <c r="H224" s="10" t="n">
        <v>8.2</v>
      </c>
    </row>
    <row r="225" customFormat="false" ht="15" hidden="false" customHeight="false" outlineLevel="0" collapsed="false">
      <c r="A225" s="8"/>
      <c r="B225" s="5"/>
      <c r="C225" s="5" t="s">
        <v>505</v>
      </c>
      <c r="D225" s="8" t="n">
        <v>8</v>
      </c>
      <c r="E225" s="9" t="n">
        <v>57</v>
      </c>
      <c r="F225" s="10" t="n">
        <v>0.1</v>
      </c>
      <c r="G225" s="10" t="n">
        <v>6.5</v>
      </c>
      <c r="H225" s="10" t="n">
        <v>0</v>
      </c>
    </row>
    <row r="226" customFormat="false" ht="15" hidden="false" customHeight="false" outlineLevel="0" collapsed="false">
      <c r="A226" s="8"/>
      <c r="B226" s="5"/>
      <c r="C226" s="5" t="s">
        <v>514</v>
      </c>
      <c r="D226" s="8" t="n">
        <v>10</v>
      </c>
      <c r="E226" s="9" t="n">
        <v>2</v>
      </c>
      <c r="F226" s="10" t="n">
        <v>0</v>
      </c>
      <c r="G226" s="10" t="n">
        <v>0</v>
      </c>
      <c r="H226" s="10" t="n">
        <v>0.7</v>
      </c>
    </row>
    <row r="227" customFormat="false" ht="15" hidden="false" customHeight="false" outlineLevel="0" collapsed="false">
      <c r="A227" s="3"/>
      <c r="B227" s="3"/>
      <c r="C227" s="15" t="s">
        <v>493</v>
      </c>
      <c r="D227" s="3"/>
      <c r="E227" s="16" t="n">
        <f aca="false">SUM(E222:E226)</f>
        <v>898</v>
      </c>
      <c r="F227" s="17" t="n">
        <f aca="false">SUM(F222:F226)</f>
        <v>45</v>
      </c>
      <c r="G227" s="17" t="n">
        <f aca="false">SUM(G222:G226)</f>
        <v>36.3</v>
      </c>
      <c r="H227" s="17" t="n">
        <f aca="false">SUM(H222:H226)</f>
        <v>96.4</v>
      </c>
    </row>
    <row r="229" customFormat="false" ht="15" hidden="false" customHeight="false" outlineLevel="0" collapsed="false">
      <c r="A229" s="8" t="s">
        <v>584</v>
      </c>
      <c r="B229" s="5" t="s">
        <v>378</v>
      </c>
      <c r="C229" s="5" t="s">
        <v>585</v>
      </c>
      <c r="D229" s="8" t="n">
        <v>110</v>
      </c>
      <c r="E229" s="9" t="n">
        <v>371</v>
      </c>
      <c r="F229" s="10" t="n">
        <v>20.9</v>
      </c>
      <c r="G229" s="10" t="n">
        <v>30.8</v>
      </c>
      <c r="H229" s="10" t="n">
        <v>0</v>
      </c>
    </row>
    <row r="230" customFormat="false" ht="15" hidden="false" customHeight="false" outlineLevel="0" collapsed="false">
      <c r="A230" s="8"/>
      <c r="B230" s="5"/>
      <c r="C230" s="5" t="s">
        <v>586</v>
      </c>
      <c r="D230" s="8" t="n">
        <v>190</v>
      </c>
      <c r="E230" s="9" t="n">
        <v>551</v>
      </c>
      <c r="F230" s="10" t="n">
        <v>14.2</v>
      </c>
      <c r="G230" s="10" t="n">
        <v>14.2</v>
      </c>
      <c r="H230" s="10" t="n">
        <v>91.2</v>
      </c>
    </row>
    <row r="231" customFormat="false" ht="15" hidden="false" customHeight="false" outlineLevel="0" collapsed="false">
      <c r="A231" s="8"/>
      <c r="B231" s="5"/>
      <c r="C231" s="5" t="s">
        <v>587</v>
      </c>
      <c r="D231" s="8" t="n">
        <v>120</v>
      </c>
      <c r="E231" s="9" t="n">
        <v>56</v>
      </c>
      <c r="F231" s="10" t="n">
        <v>1.1</v>
      </c>
      <c r="G231" s="10" t="n">
        <v>0.1</v>
      </c>
      <c r="H231" s="10" t="n">
        <v>14.2</v>
      </c>
    </row>
    <row r="232" customFormat="false" ht="15" hidden="false" customHeight="false" outlineLevel="0" collapsed="false">
      <c r="A232" s="8"/>
      <c r="B232" s="5"/>
      <c r="C232" s="5" t="s">
        <v>526</v>
      </c>
      <c r="D232" s="8" t="n">
        <v>180</v>
      </c>
      <c r="E232" s="9" t="n">
        <v>72</v>
      </c>
      <c r="F232" s="10" t="n">
        <v>3.6</v>
      </c>
      <c r="G232" s="10" t="n">
        <v>0.9</v>
      </c>
      <c r="H232" s="10" t="n">
        <v>11.7</v>
      </c>
    </row>
    <row r="233" customFormat="false" ht="15" hidden="false" customHeight="false" outlineLevel="0" collapsed="false">
      <c r="A233" s="8"/>
      <c r="B233" s="5"/>
      <c r="C233" s="5" t="s">
        <v>488</v>
      </c>
      <c r="D233" s="8" t="n">
        <v>15</v>
      </c>
      <c r="E233" s="9" t="n">
        <v>46</v>
      </c>
      <c r="F233" s="10" t="n">
        <v>0</v>
      </c>
      <c r="G233" s="10" t="n">
        <v>0</v>
      </c>
      <c r="H233" s="10" t="n">
        <v>12.4</v>
      </c>
    </row>
    <row r="234" customFormat="false" ht="15" hidden="false" customHeight="false" outlineLevel="0" collapsed="false">
      <c r="A234" s="3"/>
      <c r="B234" s="3"/>
      <c r="C234" s="15" t="s">
        <v>493</v>
      </c>
      <c r="D234" s="3"/>
      <c r="E234" s="16" t="n">
        <f aca="false">SUM(E229:E233)</f>
        <v>1096</v>
      </c>
      <c r="F234" s="17" t="n">
        <f aca="false">SUM(F229:F233)</f>
        <v>39.8</v>
      </c>
      <c r="G234" s="17" t="n">
        <f aca="false">SUM(G229:G233)</f>
        <v>46</v>
      </c>
      <c r="H234" s="17" t="n">
        <f aca="false">SUM(H229:H233)</f>
        <v>129.5</v>
      </c>
    </row>
    <row r="236" customFormat="false" ht="15" hidden="false" customHeight="false" outlineLevel="0" collapsed="false">
      <c r="A236" s="8" t="s">
        <v>588</v>
      </c>
      <c r="B236" s="5" t="s">
        <v>383</v>
      </c>
      <c r="C236" s="5" t="s">
        <v>485</v>
      </c>
      <c r="D236" s="8" t="n">
        <v>135</v>
      </c>
      <c r="E236" s="9" t="n">
        <v>223</v>
      </c>
      <c r="F236" s="10" t="n">
        <v>41.9</v>
      </c>
      <c r="G236" s="10" t="n">
        <v>4.9</v>
      </c>
      <c r="H236" s="10" t="n">
        <v>0</v>
      </c>
    </row>
    <row r="237" customFormat="false" ht="15" hidden="false" customHeight="false" outlineLevel="0" collapsed="false">
      <c r="A237" s="8"/>
      <c r="B237" s="5"/>
      <c r="C237" s="5" t="s">
        <v>521</v>
      </c>
      <c r="D237" s="8" t="n">
        <v>440</v>
      </c>
      <c r="E237" s="9" t="n">
        <v>493</v>
      </c>
      <c r="F237" s="10" t="n">
        <v>16.7</v>
      </c>
      <c r="G237" s="10" t="n">
        <v>0.9</v>
      </c>
      <c r="H237" s="10" t="n">
        <v>102.1</v>
      </c>
    </row>
    <row r="238" customFormat="false" ht="15" hidden="false" customHeight="false" outlineLevel="0" collapsed="false">
      <c r="A238" s="8"/>
      <c r="B238" s="5"/>
      <c r="C238" s="5" t="s">
        <v>589</v>
      </c>
      <c r="D238" s="8" t="n">
        <v>50</v>
      </c>
      <c r="E238" s="9" t="n">
        <v>120</v>
      </c>
      <c r="F238" s="10" t="n">
        <v>1.7</v>
      </c>
      <c r="G238" s="10" t="n">
        <v>0.2</v>
      </c>
      <c r="H238" s="10" t="n">
        <v>31.3</v>
      </c>
    </row>
    <row r="239" customFormat="false" ht="15" hidden="false" customHeight="false" outlineLevel="0" collapsed="false">
      <c r="A239" s="8"/>
      <c r="B239" s="5"/>
      <c r="C239" s="5" t="s">
        <v>492</v>
      </c>
      <c r="D239" s="8" t="n">
        <v>100</v>
      </c>
      <c r="E239" s="9" t="n">
        <v>35</v>
      </c>
      <c r="F239" s="10" t="n">
        <v>0.8</v>
      </c>
      <c r="G239" s="10" t="n">
        <v>0.2</v>
      </c>
      <c r="H239" s="10" t="n">
        <v>8.2</v>
      </c>
    </row>
    <row r="240" customFormat="false" ht="15" hidden="false" customHeight="false" outlineLevel="0" collapsed="false">
      <c r="A240" s="8"/>
      <c r="B240" s="5"/>
      <c r="C240" s="5" t="s">
        <v>499</v>
      </c>
      <c r="D240" s="8" t="n">
        <v>50</v>
      </c>
      <c r="E240" s="9" t="n">
        <v>28</v>
      </c>
      <c r="F240" s="10" t="n">
        <v>0.6</v>
      </c>
      <c r="G240" s="10" t="n">
        <v>1.2</v>
      </c>
      <c r="H240" s="10" t="n">
        <v>3.8</v>
      </c>
    </row>
    <row r="241" customFormat="false" ht="15" hidden="false" customHeight="false" outlineLevel="0" collapsed="false">
      <c r="A241" s="8"/>
      <c r="B241" s="5"/>
      <c r="C241" s="5" t="s">
        <v>489</v>
      </c>
      <c r="D241" s="8" t="n">
        <v>12</v>
      </c>
      <c r="E241" s="9" t="n">
        <v>106</v>
      </c>
      <c r="F241" s="10" t="n">
        <v>0</v>
      </c>
      <c r="G241" s="10" t="n">
        <v>12</v>
      </c>
      <c r="H241" s="10" t="n">
        <v>0</v>
      </c>
    </row>
    <row r="242" customFormat="false" ht="15" hidden="false" customHeight="false" outlineLevel="0" collapsed="false">
      <c r="A242" s="8"/>
      <c r="B242" s="5"/>
      <c r="C242" s="5" t="s">
        <v>491</v>
      </c>
      <c r="D242" s="8" t="n">
        <v>4</v>
      </c>
      <c r="E242" s="9" t="n">
        <v>10</v>
      </c>
      <c r="F242" s="10" t="n">
        <v>0.4</v>
      </c>
      <c r="G242" s="10" t="n">
        <v>0.2</v>
      </c>
      <c r="H242" s="10" t="n">
        <v>1.8</v>
      </c>
    </row>
    <row r="243" customFormat="false" ht="15" hidden="false" customHeight="false" outlineLevel="0" collapsed="false">
      <c r="A243" s="3"/>
      <c r="B243" s="3"/>
      <c r="C243" s="15" t="s">
        <v>493</v>
      </c>
      <c r="D243" s="3"/>
      <c r="E243" s="16" t="n">
        <f aca="false">SUM(E236:E242)</f>
        <v>1015</v>
      </c>
      <c r="F243" s="17" t="n">
        <f aca="false">SUM(F236:F242)</f>
        <v>62.1</v>
      </c>
      <c r="G243" s="17" t="n">
        <f aca="false">SUM(G236:G242)</f>
        <v>19.6</v>
      </c>
      <c r="H243" s="17" t="n">
        <f aca="false">SUM(H236:H242)</f>
        <v>147.2</v>
      </c>
    </row>
    <row r="245" customFormat="false" ht="15" hidden="false" customHeight="false" outlineLevel="0" collapsed="false">
      <c r="A245" s="8" t="s">
        <v>590</v>
      </c>
      <c r="B245" s="5" t="s">
        <v>388</v>
      </c>
      <c r="C245" s="5" t="s">
        <v>591</v>
      </c>
      <c r="D245" s="8" t="n">
        <v>110</v>
      </c>
      <c r="E245" s="9" t="n">
        <v>366</v>
      </c>
      <c r="F245" s="10" t="n">
        <v>14.6</v>
      </c>
      <c r="G245" s="10" t="n">
        <v>19.6</v>
      </c>
      <c r="H245" s="10" t="n">
        <v>35</v>
      </c>
    </row>
    <row r="246" customFormat="false" ht="15" hidden="false" customHeight="false" outlineLevel="0" collapsed="false">
      <c r="A246" s="8"/>
      <c r="B246" s="5"/>
      <c r="C246" s="5" t="s">
        <v>486</v>
      </c>
      <c r="D246" s="8" t="n">
        <v>400</v>
      </c>
      <c r="E246" s="9" t="n">
        <v>520</v>
      </c>
      <c r="F246" s="10" t="n">
        <v>10.8</v>
      </c>
      <c r="G246" s="10" t="n">
        <v>1.2</v>
      </c>
      <c r="H246" s="10" t="n">
        <v>112.8</v>
      </c>
    </row>
    <row r="247" customFormat="false" ht="15" hidden="false" customHeight="false" outlineLevel="0" collapsed="false">
      <c r="A247" s="8"/>
      <c r="B247" s="5"/>
      <c r="C247" s="5" t="s">
        <v>592</v>
      </c>
      <c r="D247" s="8" t="n">
        <v>80</v>
      </c>
      <c r="E247" s="9" t="n">
        <v>66</v>
      </c>
      <c r="F247" s="10" t="n">
        <v>1.4</v>
      </c>
      <c r="G247" s="10" t="n">
        <v>1</v>
      </c>
      <c r="H247" s="10" t="n">
        <v>15</v>
      </c>
    </row>
    <row r="248" customFormat="false" ht="15" hidden="false" customHeight="false" outlineLevel="0" collapsed="false">
      <c r="A248" s="8"/>
      <c r="B248" s="5"/>
      <c r="C248" s="5" t="s">
        <v>545</v>
      </c>
      <c r="D248" s="8" t="n">
        <v>80</v>
      </c>
      <c r="E248" s="9" t="n">
        <v>88</v>
      </c>
      <c r="F248" s="10" t="n">
        <v>2.8</v>
      </c>
      <c r="G248" s="10" t="n">
        <v>6.8</v>
      </c>
      <c r="H248" s="10" t="n">
        <v>3.2</v>
      </c>
    </row>
    <row r="249" customFormat="false" ht="15" hidden="false" customHeight="false" outlineLevel="0" collapsed="false">
      <c r="A249" s="8"/>
      <c r="B249" s="5"/>
      <c r="C249" s="5" t="s">
        <v>536</v>
      </c>
      <c r="D249" s="8" t="n">
        <v>60</v>
      </c>
      <c r="E249" s="9" t="n">
        <v>9</v>
      </c>
      <c r="F249" s="10" t="n">
        <v>0.6</v>
      </c>
      <c r="G249" s="10" t="n">
        <v>0.1</v>
      </c>
      <c r="H249" s="10" t="n">
        <v>1.2</v>
      </c>
    </row>
    <row r="250" customFormat="false" ht="15" hidden="false" customHeight="false" outlineLevel="0" collapsed="false">
      <c r="A250" s="8"/>
      <c r="B250" s="5"/>
      <c r="C250" s="5" t="s">
        <v>537</v>
      </c>
      <c r="D250" s="8" t="n">
        <v>80</v>
      </c>
      <c r="E250" s="9" t="n">
        <v>14</v>
      </c>
      <c r="F250" s="10" t="n">
        <v>0.7</v>
      </c>
      <c r="G250" s="10" t="n">
        <v>0.2</v>
      </c>
      <c r="H250" s="10" t="n">
        <v>3.1</v>
      </c>
    </row>
    <row r="251" customFormat="false" ht="15" hidden="false" customHeight="false" outlineLevel="0" collapsed="false">
      <c r="A251" s="8"/>
      <c r="B251" s="5"/>
      <c r="C251" s="5" t="s">
        <v>492</v>
      </c>
      <c r="D251" s="8" t="n">
        <v>100</v>
      </c>
      <c r="E251" s="9" t="n">
        <v>35</v>
      </c>
      <c r="F251" s="10" t="n">
        <v>0.8</v>
      </c>
      <c r="G251" s="10" t="n">
        <v>0.2</v>
      </c>
      <c r="H251" s="10" t="n">
        <v>8.2</v>
      </c>
    </row>
    <row r="252" customFormat="false" ht="15" hidden="false" customHeight="false" outlineLevel="0" collapsed="false">
      <c r="A252" s="3"/>
      <c r="B252" s="3"/>
      <c r="C252" s="15" t="s">
        <v>493</v>
      </c>
      <c r="D252" s="3"/>
      <c r="E252" s="16" t="n">
        <f aca="false">SUM(E245:E251)</f>
        <v>1098</v>
      </c>
      <c r="F252" s="17" t="n">
        <f aca="false">SUM(F245:F251)</f>
        <v>31.7</v>
      </c>
      <c r="G252" s="17" t="n">
        <f aca="false">SUM(G245:G251)</f>
        <v>29.1</v>
      </c>
      <c r="H252" s="17" t="n">
        <f aca="false">SUM(H245:H251)</f>
        <v>178.5</v>
      </c>
    </row>
    <row r="254" customFormat="false" ht="15" hidden="false" customHeight="false" outlineLevel="0" collapsed="false">
      <c r="A254" s="8" t="s">
        <v>593</v>
      </c>
      <c r="B254" s="5" t="s">
        <v>391</v>
      </c>
      <c r="C254" s="5" t="s">
        <v>594</v>
      </c>
      <c r="D254" s="8" t="n">
        <v>150</v>
      </c>
      <c r="E254" s="9" t="n">
        <v>525</v>
      </c>
      <c r="F254" s="10" t="n">
        <v>15</v>
      </c>
      <c r="G254" s="10" t="n">
        <v>3.8</v>
      </c>
      <c r="H254" s="10" t="n">
        <v>108</v>
      </c>
    </row>
    <row r="255" customFormat="false" ht="15" hidden="false" customHeight="false" outlineLevel="0" collapsed="false">
      <c r="A255" s="8"/>
      <c r="B255" s="5"/>
      <c r="C255" s="5" t="s">
        <v>541</v>
      </c>
      <c r="D255" s="8" t="n">
        <v>300</v>
      </c>
      <c r="E255" s="9" t="n">
        <v>138</v>
      </c>
      <c r="F255" s="10" t="n">
        <v>10.2</v>
      </c>
      <c r="G255" s="10" t="n">
        <v>4.5</v>
      </c>
      <c r="H255" s="10" t="n">
        <v>14.1</v>
      </c>
    </row>
    <row r="256" customFormat="false" ht="15" hidden="false" customHeight="false" outlineLevel="0" collapsed="false">
      <c r="A256" s="8"/>
      <c r="B256" s="5"/>
      <c r="C256" s="5" t="s">
        <v>572</v>
      </c>
      <c r="D256" s="8" t="n">
        <v>45</v>
      </c>
      <c r="E256" s="9" t="n">
        <v>64</v>
      </c>
      <c r="F256" s="10" t="n">
        <v>5.7</v>
      </c>
      <c r="G256" s="10" t="n">
        <v>4.3</v>
      </c>
      <c r="H256" s="10" t="n">
        <v>0.3</v>
      </c>
    </row>
    <row r="257" customFormat="false" ht="15" hidden="false" customHeight="false" outlineLevel="0" collapsed="false">
      <c r="A257" s="8"/>
      <c r="B257" s="5"/>
      <c r="C257" s="5" t="s">
        <v>595</v>
      </c>
      <c r="D257" s="8" t="n">
        <v>60</v>
      </c>
      <c r="E257" s="9" t="n">
        <v>252</v>
      </c>
      <c r="F257" s="10" t="n">
        <v>18</v>
      </c>
      <c r="G257" s="10" t="n">
        <v>19.8</v>
      </c>
      <c r="H257" s="10" t="n">
        <v>0.6</v>
      </c>
    </row>
    <row r="258" customFormat="false" ht="15" hidden="false" customHeight="false" outlineLevel="0" collapsed="false">
      <c r="A258" s="8"/>
      <c r="B258" s="5"/>
      <c r="C258" s="5" t="s">
        <v>488</v>
      </c>
      <c r="D258" s="8" t="n">
        <v>25</v>
      </c>
      <c r="E258" s="9" t="n">
        <v>76</v>
      </c>
      <c r="F258" s="10" t="n">
        <v>0.1</v>
      </c>
      <c r="G258" s="10" t="n">
        <v>0</v>
      </c>
      <c r="H258" s="10" t="n">
        <v>20.6</v>
      </c>
    </row>
    <row r="259" customFormat="false" ht="15" hidden="false" customHeight="false" outlineLevel="0" collapsed="false">
      <c r="A259" s="8"/>
      <c r="B259" s="5"/>
      <c r="C259" s="5" t="s">
        <v>505</v>
      </c>
      <c r="D259" s="8" t="n">
        <v>10</v>
      </c>
      <c r="E259" s="9" t="n">
        <v>72</v>
      </c>
      <c r="F259" s="10" t="n">
        <v>0.1</v>
      </c>
      <c r="G259" s="10" t="n">
        <v>8.1</v>
      </c>
      <c r="H259" s="10" t="n">
        <v>0</v>
      </c>
    </row>
    <row r="260" customFormat="false" ht="15" hidden="false" customHeight="false" outlineLevel="0" collapsed="false">
      <c r="A260" s="8"/>
      <c r="B260" s="5"/>
      <c r="C260" s="5" t="s">
        <v>492</v>
      </c>
      <c r="D260" s="8" t="n">
        <v>100</v>
      </c>
      <c r="E260" s="9" t="n">
        <v>35</v>
      </c>
      <c r="F260" s="10" t="n">
        <v>0.8</v>
      </c>
      <c r="G260" s="10" t="n">
        <v>0.2</v>
      </c>
      <c r="H260" s="10" t="n">
        <v>8.2</v>
      </c>
    </row>
    <row r="261" customFormat="false" ht="15" hidden="false" customHeight="false" outlineLevel="0" collapsed="false">
      <c r="A261" s="3"/>
      <c r="B261" s="3"/>
      <c r="C261" s="15" t="s">
        <v>493</v>
      </c>
      <c r="D261" s="3"/>
      <c r="E261" s="16" t="n">
        <f aca="false">SUM(E254:E260)</f>
        <v>1162</v>
      </c>
      <c r="F261" s="17" t="n">
        <f aca="false">SUM(F254:F260)</f>
        <v>49.9</v>
      </c>
      <c r="G261" s="17" t="n">
        <f aca="false">SUM(G254:G260)</f>
        <v>40.7</v>
      </c>
      <c r="H261" s="17" t="n">
        <f aca="false">SUM(H254:H260)</f>
        <v>151.8</v>
      </c>
    </row>
    <row r="263" customFormat="false" ht="15" hidden="false" customHeight="false" outlineLevel="0" collapsed="false">
      <c r="A263" s="8" t="s">
        <v>596</v>
      </c>
      <c r="B263" s="5" t="s">
        <v>394</v>
      </c>
      <c r="C263" s="5" t="s">
        <v>485</v>
      </c>
      <c r="D263" s="8" t="n">
        <v>150</v>
      </c>
      <c r="E263" s="9" t="n">
        <v>248</v>
      </c>
      <c r="F263" s="10" t="n">
        <v>46.5</v>
      </c>
      <c r="G263" s="10" t="n">
        <v>5.4</v>
      </c>
      <c r="H263" s="10" t="n">
        <v>0</v>
      </c>
    </row>
    <row r="264" customFormat="false" ht="15" hidden="false" customHeight="false" outlineLevel="0" collapsed="false">
      <c r="A264" s="8"/>
      <c r="B264" s="5"/>
      <c r="C264" s="5" t="s">
        <v>597</v>
      </c>
      <c r="D264" s="8" t="n">
        <v>430</v>
      </c>
      <c r="E264" s="9" t="n">
        <v>529</v>
      </c>
      <c r="F264" s="10" t="n">
        <v>11.6</v>
      </c>
      <c r="G264" s="10" t="n">
        <v>4.3</v>
      </c>
      <c r="H264" s="10" t="n">
        <v>110.1</v>
      </c>
    </row>
    <row r="265" customFormat="false" ht="15" hidden="false" customHeight="false" outlineLevel="0" collapsed="false">
      <c r="A265" s="8"/>
      <c r="B265" s="5"/>
      <c r="C265" s="5" t="s">
        <v>487</v>
      </c>
      <c r="D265" s="8" t="n">
        <v>200</v>
      </c>
      <c r="E265" s="9" t="n">
        <v>70</v>
      </c>
      <c r="F265" s="10" t="n">
        <v>4.8</v>
      </c>
      <c r="G265" s="10" t="n">
        <v>0.8</v>
      </c>
      <c r="H265" s="10" t="n">
        <v>14.4</v>
      </c>
    </row>
    <row r="266" customFormat="false" ht="15" hidden="false" customHeight="false" outlineLevel="0" collapsed="false">
      <c r="A266" s="8"/>
      <c r="B266" s="5"/>
      <c r="C266" s="5" t="s">
        <v>489</v>
      </c>
      <c r="D266" s="8" t="n">
        <v>12</v>
      </c>
      <c r="E266" s="9" t="n">
        <v>106</v>
      </c>
      <c r="F266" s="10" t="n">
        <v>0</v>
      </c>
      <c r="G266" s="10" t="n">
        <v>12</v>
      </c>
      <c r="H266" s="10" t="n">
        <v>0</v>
      </c>
    </row>
    <row r="267" customFormat="false" ht="15" hidden="false" customHeight="false" outlineLevel="0" collapsed="false">
      <c r="A267" s="8"/>
      <c r="B267" s="5"/>
      <c r="C267" s="5" t="s">
        <v>490</v>
      </c>
      <c r="D267" s="8" t="n">
        <v>6</v>
      </c>
      <c r="E267" s="9" t="n">
        <v>9</v>
      </c>
      <c r="F267" s="10" t="n">
        <v>0.4</v>
      </c>
      <c r="G267" s="10" t="n">
        <v>0</v>
      </c>
      <c r="H267" s="10" t="n">
        <v>2</v>
      </c>
    </row>
    <row r="268" customFormat="false" ht="15" hidden="false" customHeight="false" outlineLevel="0" collapsed="false">
      <c r="A268" s="8"/>
      <c r="B268" s="5"/>
      <c r="C268" s="5" t="s">
        <v>492</v>
      </c>
      <c r="D268" s="8" t="n">
        <v>100</v>
      </c>
      <c r="E268" s="9" t="n">
        <v>35</v>
      </c>
      <c r="F268" s="10" t="n">
        <v>0.8</v>
      </c>
      <c r="G268" s="10" t="n">
        <v>0.2</v>
      </c>
      <c r="H268" s="10" t="n">
        <v>8.2</v>
      </c>
    </row>
    <row r="269" customFormat="false" ht="15" hidden="false" customHeight="false" outlineLevel="0" collapsed="false">
      <c r="A269" s="3"/>
      <c r="B269" s="3"/>
      <c r="C269" s="15" t="s">
        <v>493</v>
      </c>
      <c r="D269" s="3"/>
      <c r="E269" s="16" t="n">
        <f aca="false">SUM(E263:E268)</f>
        <v>997</v>
      </c>
      <c r="F269" s="17" t="n">
        <f aca="false">SUM(F263:F268)</f>
        <v>64.1</v>
      </c>
      <c r="G269" s="17" t="n">
        <f aca="false">SUM(G263:G268)</f>
        <v>22.7</v>
      </c>
      <c r="H269" s="17" t="n">
        <f aca="false">SUM(H263:H268)</f>
        <v>134.7</v>
      </c>
    </row>
    <row r="271" customFormat="false" ht="15" hidden="false" customHeight="false" outlineLevel="0" collapsed="false">
      <c r="A271" s="8" t="s">
        <v>598</v>
      </c>
      <c r="B271" s="5" t="s">
        <v>397</v>
      </c>
      <c r="C271" s="5" t="s">
        <v>496</v>
      </c>
      <c r="D271" s="8" t="n">
        <v>120</v>
      </c>
      <c r="E271" s="9" t="n">
        <v>216</v>
      </c>
      <c r="F271" s="10" t="n">
        <v>31.2</v>
      </c>
      <c r="G271" s="10" t="n">
        <v>9.6</v>
      </c>
      <c r="H271" s="10" t="n">
        <v>0</v>
      </c>
    </row>
    <row r="272" customFormat="false" ht="15" hidden="false" customHeight="false" outlineLevel="0" collapsed="false">
      <c r="A272" s="8"/>
      <c r="B272" s="5"/>
      <c r="C272" s="5" t="s">
        <v>599</v>
      </c>
      <c r="D272" s="8" t="n">
        <v>150</v>
      </c>
      <c r="E272" s="9" t="n">
        <v>142</v>
      </c>
      <c r="F272" s="10" t="n">
        <v>9.8</v>
      </c>
      <c r="G272" s="10" t="n">
        <v>0.8</v>
      </c>
      <c r="H272" s="10" t="n">
        <v>24</v>
      </c>
    </row>
    <row r="273" customFormat="false" ht="15" hidden="false" customHeight="false" outlineLevel="0" collapsed="false">
      <c r="A273" s="8"/>
      <c r="B273" s="5"/>
      <c r="C273" s="5" t="s">
        <v>486</v>
      </c>
      <c r="D273" s="8" t="n">
        <v>420</v>
      </c>
      <c r="E273" s="9" t="n">
        <v>546</v>
      </c>
      <c r="F273" s="10" t="n">
        <v>11.3</v>
      </c>
      <c r="G273" s="10" t="n">
        <v>1.3</v>
      </c>
      <c r="H273" s="10" t="n">
        <v>118.4</v>
      </c>
    </row>
    <row r="274" customFormat="false" ht="15" hidden="false" customHeight="false" outlineLevel="0" collapsed="false">
      <c r="A274" s="8"/>
      <c r="B274" s="5"/>
      <c r="C274" s="5" t="s">
        <v>508</v>
      </c>
      <c r="D274" s="8" t="n">
        <v>150</v>
      </c>
      <c r="E274" s="9" t="n">
        <v>48</v>
      </c>
      <c r="F274" s="10" t="n">
        <v>2.4</v>
      </c>
      <c r="G274" s="10" t="n">
        <v>0.5</v>
      </c>
      <c r="H274" s="10" t="n">
        <v>10.5</v>
      </c>
    </row>
    <row r="275" customFormat="false" ht="15" hidden="false" customHeight="false" outlineLevel="0" collapsed="false">
      <c r="A275" s="8"/>
      <c r="B275" s="5"/>
      <c r="C275" s="5" t="s">
        <v>554</v>
      </c>
      <c r="D275" s="8" t="n">
        <v>60</v>
      </c>
      <c r="E275" s="9" t="n">
        <v>52</v>
      </c>
      <c r="F275" s="10" t="n">
        <v>1.9</v>
      </c>
      <c r="G275" s="10" t="n">
        <v>0.7</v>
      </c>
      <c r="H275" s="10" t="n">
        <v>11.4</v>
      </c>
    </row>
    <row r="276" customFormat="false" ht="15" hidden="false" customHeight="false" outlineLevel="0" collapsed="false">
      <c r="A276" s="8"/>
      <c r="B276" s="5"/>
      <c r="C276" s="5" t="s">
        <v>499</v>
      </c>
      <c r="D276" s="8" t="n">
        <v>50</v>
      </c>
      <c r="E276" s="9" t="n">
        <v>28</v>
      </c>
      <c r="F276" s="10" t="n">
        <v>0.6</v>
      </c>
      <c r="G276" s="10" t="n">
        <v>1.2</v>
      </c>
      <c r="H276" s="10" t="n">
        <v>3.8</v>
      </c>
    </row>
    <row r="277" customFormat="false" ht="15" hidden="false" customHeight="false" outlineLevel="0" collapsed="false">
      <c r="A277" s="8"/>
      <c r="B277" s="5"/>
      <c r="C277" s="5" t="s">
        <v>489</v>
      </c>
      <c r="D277" s="8" t="n">
        <v>8</v>
      </c>
      <c r="E277" s="9" t="n">
        <v>71</v>
      </c>
      <c r="F277" s="10" t="n">
        <v>0</v>
      </c>
      <c r="G277" s="10" t="n">
        <v>8</v>
      </c>
      <c r="H277" s="10" t="n">
        <v>0</v>
      </c>
    </row>
    <row r="278" customFormat="false" ht="15" hidden="false" customHeight="false" outlineLevel="0" collapsed="false">
      <c r="A278" s="8"/>
      <c r="B278" s="5"/>
      <c r="C278" s="5" t="s">
        <v>492</v>
      </c>
      <c r="D278" s="8" t="n">
        <v>100</v>
      </c>
      <c r="E278" s="9" t="n">
        <v>35</v>
      </c>
      <c r="F278" s="10" t="n">
        <v>0.8</v>
      </c>
      <c r="G278" s="10" t="n">
        <v>0.2</v>
      </c>
      <c r="H278" s="10" t="n">
        <v>8.2</v>
      </c>
    </row>
    <row r="279" customFormat="false" ht="15" hidden="false" customHeight="false" outlineLevel="0" collapsed="false">
      <c r="A279" s="3"/>
      <c r="B279" s="3"/>
      <c r="C279" s="15" t="s">
        <v>493</v>
      </c>
      <c r="D279" s="3"/>
      <c r="E279" s="16" t="n">
        <f aca="false">SUM(E271:E278)</f>
        <v>1138</v>
      </c>
      <c r="F279" s="17" t="n">
        <f aca="false">SUM(F271:F278)</f>
        <v>58</v>
      </c>
      <c r="G279" s="17" t="n">
        <f aca="false">SUM(G271:G278)</f>
        <v>22.3</v>
      </c>
      <c r="H279" s="17" t="n">
        <f aca="false">SUM(H271:H278)</f>
        <v>176.3</v>
      </c>
    </row>
    <row r="281" customFormat="false" ht="15" hidden="false" customHeight="false" outlineLevel="0" collapsed="false">
      <c r="A281" s="8" t="s">
        <v>600</v>
      </c>
      <c r="B281" s="5" t="s">
        <v>400</v>
      </c>
      <c r="C281" s="5" t="s">
        <v>485</v>
      </c>
      <c r="D281" s="8" t="n">
        <v>135</v>
      </c>
      <c r="E281" s="9" t="n">
        <v>223</v>
      </c>
      <c r="F281" s="10" t="n">
        <v>41.9</v>
      </c>
      <c r="G281" s="10" t="n">
        <v>4.9</v>
      </c>
      <c r="H281" s="10" t="n">
        <v>0</v>
      </c>
    </row>
    <row r="282" customFormat="false" ht="15" hidden="false" customHeight="false" outlineLevel="0" collapsed="false">
      <c r="A282" s="8"/>
      <c r="B282" s="5"/>
      <c r="C282" s="5" t="s">
        <v>548</v>
      </c>
      <c r="D282" s="8" t="n">
        <v>180</v>
      </c>
      <c r="E282" s="9" t="n">
        <v>495</v>
      </c>
      <c r="F282" s="10" t="n">
        <v>16.4</v>
      </c>
      <c r="G282" s="10" t="n">
        <v>2.2</v>
      </c>
      <c r="H282" s="10" t="n">
        <v>100.3</v>
      </c>
    </row>
    <row r="283" customFormat="false" ht="15" hidden="false" customHeight="false" outlineLevel="0" collapsed="false">
      <c r="A283" s="8"/>
      <c r="B283" s="5"/>
      <c r="C283" s="5" t="s">
        <v>574</v>
      </c>
      <c r="D283" s="8" t="n">
        <v>50</v>
      </c>
      <c r="E283" s="9" t="n">
        <v>132</v>
      </c>
      <c r="F283" s="10" t="n">
        <v>7.1</v>
      </c>
      <c r="G283" s="10" t="n">
        <v>10.7</v>
      </c>
      <c r="H283" s="10" t="n">
        <v>2</v>
      </c>
    </row>
    <row r="284" customFormat="false" ht="15" hidden="false" customHeight="false" outlineLevel="0" collapsed="false">
      <c r="A284" s="8"/>
      <c r="B284" s="5"/>
      <c r="C284" s="5" t="s">
        <v>542</v>
      </c>
      <c r="D284" s="8" t="n">
        <v>100</v>
      </c>
      <c r="E284" s="9" t="n">
        <v>15</v>
      </c>
      <c r="F284" s="10" t="n">
        <v>0.7</v>
      </c>
      <c r="G284" s="10" t="n">
        <v>0.1</v>
      </c>
      <c r="H284" s="10" t="n">
        <v>3.6</v>
      </c>
    </row>
    <row r="285" customFormat="false" ht="15" hidden="false" customHeight="false" outlineLevel="0" collapsed="false">
      <c r="A285" s="8"/>
      <c r="B285" s="5"/>
      <c r="C285" s="5" t="s">
        <v>537</v>
      </c>
      <c r="D285" s="8" t="n">
        <v>100</v>
      </c>
      <c r="E285" s="9" t="n">
        <v>18</v>
      </c>
      <c r="F285" s="10" t="n">
        <v>0.9</v>
      </c>
      <c r="G285" s="10" t="n">
        <v>0.2</v>
      </c>
      <c r="H285" s="10" t="n">
        <v>3.9</v>
      </c>
    </row>
    <row r="286" customFormat="false" ht="15" hidden="false" customHeight="false" outlineLevel="0" collapsed="false">
      <c r="A286" s="8"/>
      <c r="B286" s="5"/>
      <c r="C286" s="5" t="s">
        <v>489</v>
      </c>
      <c r="D286" s="8" t="n">
        <v>14</v>
      </c>
      <c r="E286" s="9" t="n">
        <v>124</v>
      </c>
      <c r="F286" s="10" t="n">
        <v>0</v>
      </c>
      <c r="G286" s="10" t="n">
        <v>14</v>
      </c>
      <c r="H286" s="10" t="n">
        <v>0</v>
      </c>
    </row>
    <row r="287" customFormat="false" ht="15" hidden="false" customHeight="false" outlineLevel="0" collapsed="false">
      <c r="A287" s="8"/>
      <c r="B287" s="5"/>
      <c r="C287" s="5" t="s">
        <v>499</v>
      </c>
      <c r="D287" s="8" t="n">
        <v>30</v>
      </c>
      <c r="E287" s="9" t="n">
        <v>16</v>
      </c>
      <c r="F287" s="10" t="n">
        <v>0.3</v>
      </c>
      <c r="G287" s="10" t="n">
        <v>0.8</v>
      </c>
      <c r="H287" s="10" t="n">
        <v>2.3</v>
      </c>
    </row>
    <row r="288" customFormat="false" ht="15" hidden="false" customHeight="false" outlineLevel="0" collapsed="false">
      <c r="A288" s="8"/>
      <c r="B288" s="5"/>
      <c r="C288" s="5" t="s">
        <v>492</v>
      </c>
      <c r="D288" s="8" t="n">
        <v>100</v>
      </c>
      <c r="E288" s="9" t="n">
        <v>35</v>
      </c>
      <c r="F288" s="10" t="n">
        <v>0.8</v>
      </c>
      <c r="G288" s="10" t="n">
        <v>0.2</v>
      </c>
      <c r="H288" s="10" t="n">
        <v>8.2</v>
      </c>
    </row>
    <row r="289" customFormat="false" ht="15" hidden="false" customHeight="false" outlineLevel="0" collapsed="false">
      <c r="A289" s="3"/>
      <c r="B289" s="3"/>
      <c r="C289" s="15" t="s">
        <v>493</v>
      </c>
      <c r="D289" s="3"/>
      <c r="E289" s="16" t="n">
        <f aca="false">SUM(E281:E288)</f>
        <v>1058</v>
      </c>
      <c r="F289" s="17" t="n">
        <f aca="false">SUM(F281:F288)</f>
        <v>68.1</v>
      </c>
      <c r="G289" s="17" t="n">
        <f aca="false">SUM(G281:G288)</f>
        <v>33.1</v>
      </c>
      <c r="H289" s="17" t="n">
        <f aca="false">SUM(H281:H288)</f>
        <v>120.3</v>
      </c>
    </row>
    <row r="291" customFormat="false" ht="15" hidden="false" customHeight="false" outlineLevel="0" collapsed="false">
      <c r="A291" s="8" t="s">
        <v>601</v>
      </c>
      <c r="B291" s="5" t="s">
        <v>403</v>
      </c>
      <c r="C291" s="5" t="s">
        <v>568</v>
      </c>
      <c r="D291" s="8" t="n">
        <v>120</v>
      </c>
      <c r="E291" s="9" t="n">
        <v>250</v>
      </c>
      <c r="F291" s="10" t="n">
        <v>26.4</v>
      </c>
      <c r="G291" s="10" t="n">
        <v>15.6</v>
      </c>
      <c r="H291" s="10" t="n">
        <v>0</v>
      </c>
    </row>
    <row r="292" customFormat="false" ht="15" hidden="false" customHeight="false" outlineLevel="0" collapsed="false">
      <c r="A292" s="8"/>
      <c r="B292" s="5"/>
      <c r="C292" s="5" t="s">
        <v>534</v>
      </c>
      <c r="D292" s="8" t="n">
        <v>110</v>
      </c>
      <c r="E292" s="9" t="n">
        <v>292</v>
      </c>
      <c r="F292" s="10" t="n">
        <v>9.9</v>
      </c>
      <c r="G292" s="10" t="n">
        <v>3.5</v>
      </c>
      <c r="H292" s="10" t="n">
        <v>53.9</v>
      </c>
    </row>
    <row r="293" customFormat="false" ht="15" hidden="false" customHeight="false" outlineLevel="0" collapsed="false">
      <c r="A293" s="8"/>
      <c r="B293" s="5"/>
      <c r="C293" s="5" t="s">
        <v>564</v>
      </c>
      <c r="D293" s="8" t="n">
        <v>440</v>
      </c>
      <c r="E293" s="9" t="n">
        <v>396</v>
      </c>
      <c r="F293" s="10" t="n">
        <v>8.8</v>
      </c>
      <c r="G293" s="10" t="n">
        <v>0.4</v>
      </c>
      <c r="H293" s="10" t="n">
        <v>91.1</v>
      </c>
    </row>
    <row r="294" customFormat="false" ht="15" hidden="false" customHeight="false" outlineLevel="0" collapsed="false">
      <c r="A294" s="8"/>
      <c r="B294" s="5"/>
      <c r="C294" s="5" t="s">
        <v>536</v>
      </c>
      <c r="D294" s="8" t="n">
        <v>40</v>
      </c>
      <c r="E294" s="9" t="n">
        <v>6</v>
      </c>
      <c r="F294" s="10" t="n">
        <v>0.4</v>
      </c>
      <c r="G294" s="10" t="n">
        <v>0.1</v>
      </c>
      <c r="H294" s="10" t="n">
        <v>0.8</v>
      </c>
    </row>
    <row r="295" customFormat="false" ht="15" hidden="false" customHeight="false" outlineLevel="0" collapsed="false">
      <c r="A295" s="8"/>
      <c r="B295" s="5"/>
      <c r="C295" s="5" t="s">
        <v>549</v>
      </c>
      <c r="D295" s="8" t="n">
        <v>40</v>
      </c>
      <c r="E295" s="9" t="n">
        <v>38</v>
      </c>
      <c r="F295" s="10" t="n">
        <v>1.2</v>
      </c>
      <c r="G295" s="10" t="n">
        <v>2.4</v>
      </c>
      <c r="H295" s="10" t="n">
        <v>2.4</v>
      </c>
    </row>
    <row r="296" customFormat="false" ht="15" hidden="false" customHeight="false" outlineLevel="0" collapsed="false">
      <c r="A296" s="3"/>
      <c r="B296" s="3"/>
      <c r="C296" s="15" t="s">
        <v>493</v>
      </c>
      <c r="D296" s="3"/>
      <c r="E296" s="16" t="n">
        <f aca="false">SUM(E291:E295)</f>
        <v>982</v>
      </c>
      <c r="F296" s="17" t="n">
        <f aca="false">SUM(F291:F295)</f>
        <v>46.7</v>
      </c>
      <c r="G296" s="17" t="n">
        <f aca="false">SUM(G291:G295)</f>
        <v>22</v>
      </c>
      <c r="H296" s="17" t="n">
        <f aca="false">SUM(H291:H295)</f>
        <v>148.2</v>
      </c>
    </row>
    <row r="298" customFormat="false" ht="15" hidden="false" customHeight="false" outlineLevel="0" collapsed="false">
      <c r="A298" s="8" t="s">
        <v>602</v>
      </c>
      <c r="B298" s="5" t="s">
        <v>406</v>
      </c>
      <c r="C298" s="5" t="s">
        <v>502</v>
      </c>
      <c r="D298" s="8" t="n">
        <v>130</v>
      </c>
      <c r="E298" s="9" t="n">
        <v>276</v>
      </c>
      <c r="F298" s="10" t="n">
        <v>40.3</v>
      </c>
      <c r="G298" s="10" t="n">
        <v>12.3</v>
      </c>
      <c r="H298" s="10" t="n">
        <v>0</v>
      </c>
    </row>
    <row r="299" customFormat="false" ht="15" hidden="false" customHeight="false" outlineLevel="0" collapsed="false">
      <c r="A299" s="8"/>
      <c r="B299" s="5"/>
      <c r="C299" s="5" t="s">
        <v>569</v>
      </c>
      <c r="D299" s="8" t="n">
        <v>420</v>
      </c>
      <c r="E299" s="9" t="n">
        <v>664</v>
      </c>
      <c r="F299" s="10" t="n">
        <v>24.4</v>
      </c>
      <c r="G299" s="10" t="n">
        <v>5</v>
      </c>
      <c r="H299" s="10" t="n">
        <v>128.1</v>
      </c>
    </row>
    <row r="300" customFormat="false" ht="15" hidden="false" customHeight="false" outlineLevel="0" collapsed="false">
      <c r="A300" s="8"/>
      <c r="B300" s="5"/>
      <c r="C300" s="5" t="s">
        <v>518</v>
      </c>
      <c r="D300" s="8" t="n">
        <v>180</v>
      </c>
      <c r="E300" s="9" t="n">
        <v>50</v>
      </c>
      <c r="F300" s="10" t="n">
        <v>5.6</v>
      </c>
      <c r="G300" s="10" t="n">
        <v>0.7</v>
      </c>
      <c r="H300" s="10" t="n">
        <v>7.2</v>
      </c>
    </row>
    <row r="301" customFormat="false" ht="15" hidden="false" customHeight="false" outlineLevel="0" collapsed="false">
      <c r="A301" s="8"/>
      <c r="B301" s="5"/>
      <c r="C301" s="5" t="s">
        <v>603</v>
      </c>
      <c r="D301" s="8" t="n">
        <v>80</v>
      </c>
      <c r="E301" s="9" t="n">
        <v>58</v>
      </c>
      <c r="F301" s="10" t="n">
        <v>6</v>
      </c>
      <c r="G301" s="10" t="n">
        <v>1.6</v>
      </c>
      <c r="H301" s="10" t="n">
        <v>4</v>
      </c>
    </row>
    <row r="302" customFormat="false" ht="15" hidden="false" customHeight="false" outlineLevel="0" collapsed="false">
      <c r="A302" s="8"/>
      <c r="B302" s="5"/>
      <c r="C302" s="5" t="s">
        <v>499</v>
      </c>
      <c r="D302" s="8" t="n">
        <v>50</v>
      </c>
      <c r="E302" s="9" t="n">
        <v>28</v>
      </c>
      <c r="F302" s="10" t="n">
        <v>0.6</v>
      </c>
      <c r="G302" s="10" t="n">
        <v>1.2</v>
      </c>
      <c r="H302" s="10" t="n">
        <v>3.8</v>
      </c>
    </row>
    <row r="303" customFormat="false" ht="15" hidden="false" customHeight="false" outlineLevel="0" collapsed="false">
      <c r="A303" s="8"/>
      <c r="B303" s="5"/>
      <c r="C303" s="5" t="s">
        <v>489</v>
      </c>
      <c r="D303" s="8" t="n">
        <v>10</v>
      </c>
      <c r="E303" s="9" t="n">
        <v>88</v>
      </c>
      <c r="F303" s="10" t="n">
        <v>0</v>
      </c>
      <c r="G303" s="10" t="n">
        <v>10</v>
      </c>
      <c r="H303" s="10" t="n">
        <v>0</v>
      </c>
    </row>
    <row r="304" customFormat="false" ht="15" hidden="false" customHeight="false" outlineLevel="0" collapsed="false">
      <c r="A304" s="8"/>
      <c r="B304" s="5"/>
      <c r="C304" s="5" t="s">
        <v>492</v>
      </c>
      <c r="D304" s="8" t="n">
        <v>100</v>
      </c>
      <c r="E304" s="9" t="n">
        <v>35</v>
      </c>
      <c r="F304" s="10" t="n">
        <v>0.8</v>
      </c>
      <c r="G304" s="10" t="n">
        <v>0.2</v>
      </c>
      <c r="H304" s="10" t="n">
        <v>8.2</v>
      </c>
    </row>
    <row r="305" customFormat="false" ht="15" hidden="false" customHeight="false" outlineLevel="0" collapsed="false">
      <c r="A305" s="3"/>
      <c r="B305" s="3"/>
      <c r="C305" s="15" t="s">
        <v>493</v>
      </c>
      <c r="D305" s="3"/>
      <c r="E305" s="16" t="n">
        <f aca="false">SUM(E298:E304)</f>
        <v>1199</v>
      </c>
      <c r="F305" s="17" t="n">
        <f aca="false">SUM(F298:F304)</f>
        <v>77.7</v>
      </c>
      <c r="G305" s="17" t="n">
        <f aca="false">SUM(G298:G304)</f>
        <v>31</v>
      </c>
      <c r="H305" s="17" t="n">
        <f aca="false">SUM(H298:H304)</f>
        <v>151.3</v>
      </c>
    </row>
    <row r="307" customFormat="false" ht="15" hidden="false" customHeight="false" outlineLevel="0" collapsed="false">
      <c r="A307" s="8" t="s">
        <v>604</v>
      </c>
      <c r="B307" s="5" t="s">
        <v>409</v>
      </c>
      <c r="C307" s="5" t="s">
        <v>485</v>
      </c>
      <c r="D307" s="8" t="n">
        <v>145</v>
      </c>
      <c r="E307" s="9" t="n">
        <v>239</v>
      </c>
      <c r="F307" s="10" t="n">
        <v>45</v>
      </c>
      <c r="G307" s="10" t="n">
        <v>5.2</v>
      </c>
      <c r="H307" s="10" t="n">
        <v>0</v>
      </c>
    </row>
    <row r="308" customFormat="false" ht="15" hidden="false" customHeight="false" outlineLevel="0" collapsed="false">
      <c r="A308" s="8"/>
      <c r="B308" s="5"/>
      <c r="C308" s="5" t="s">
        <v>495</v>
      </c>
      <c r="D308" s="8" t="n">
        <v>420</v>
      </c>
      <c r="E308" s="9" t="n">
        <v>664</v>
      </c>
      <c r="F308" s="10" t="n">
        <v>24.4</v>
      </c>
      <c r="G308" s="10" t="n">
        <v>3.8</v>
      </c>
      <c r="H308" s="10" t="n">
        <v>129.8</v>
      </c>
    </row>
    <row r="309" customFormat="false" ht="15" hidden="false" customHeight="false" outlineLevel="0" collapsed="false">
      <c r="A309" s="8"/>
      <c r="B309" s="5"/>
      <c r="C309" s="5" t="s">
        <v>605</v>
      </c>
      <c r="D309" s="8" t="n">
        <v>35</v>
      </c>
      <c r="E309" s="9" t="n">
        <v>158</v>
      </c>
      <c r="F309" s="10" t="n">
        <v>1.8</v>
      </c>
      <c r="G309" s="10" t="n">
        <v>15.8</v>
      </c>
      <c r="H309" s="10" t="n">
        <v>1.4</v>
      </c>
    </row>
    <row r="310" customFormat="false" ht="15" hidden="false" customHeight="false" outlineLevel="0" collapsed="false">
      <c r="A310" s="8"/>
      <c r="B310" s="5"/>
      <c r="C310" s="5" t="s">
        <v>537</v>
      </c>
      <c r="D310" s="8" t="n">
        <v>150</v>
      </c>
      <c r="E310" s="9" t="n">
        <v>27</v>
      </c>
      <c r="F310" s="10" t="n">
        <v>1.4</v>
      </c>
      <c r="G310" s="10" t="n">
        <v>0.3</v>
      </c>
      <c r="H310" s="10" t="n">
        <v>5.8</v>
      </c>
    </row>
    <row r="311" customFormat="false" ht="15" hidden="false" customHeight="false" outlineLevel="0" collapsed="false">
      <c r="A311" s="8"/>
      <c r="B311" s="5"/>
      <c r="C311" s="5" t="s">
        <v>557</v>
      </c>
      <c r="D311" s="8" t="n">
        <v>80</v>
      </c>
      <c r="E311" s="9" t="n">
        <v>18</v>
      </c>
      <c r="F311" s="10" t="n">
        <v>2.4</v>
      </c>
      <c r="G311" s="10" t="n">
        <v>0.2</v>
      </c>
      <c r="H311" s="10" t="n">
        <v>3</v>
      </c>
    </row>
    <row r="312" customFormat="false" ht="15" hidden="false" customHeight="false" outlineLevel="0" collapsed="false">
      <c r="A312" s="3"/>
      <c r="B312" s="3"/>
      <c r="C312" s="15" t="s">
        <v>493</v>
      </c>
      <c r="D312" s="3"/>
      <c r="E312" s="16" t="n">
        <f aca="false">SUM(E307:E311)</f>
        <v>1106</v>
      </c>
      <c r="F312" s="17" t="n">
        <f aca="false">SUM(F307:F311)</f>
        <v>75</v>
      </c>
      <c r="G312" s="17" t="n">
        <f aca="false">SUM(G307:G311)</f>
        <v>25.3</v>
      </c>
      <c r="H312" s="17" t="n">
        <f aca="false">SUM(H307:H311)</f>
        <v>140</v>
      </c>
    </row>
    <row r="314" customFormat="false" ht="15" hidden="false" customHeight="false" outlineLevel="0" collapsed="false">
      <c r="A314" s="8" t="s">
        <v>606</v>
      </c>
      <c r="B314" s="5" t="s">
        <v>412</v>
      </c>
      <c r="C314" s="5" t="s">
        <v>524</v>
      </c>
      <c r="D314" s="8" t="n">
        <v>135</v>
      </c>
      <c r="E314" s="9" t="n">
        <v>277</v>
      </c>
      <c r="F314" s="10" t="n">
        <v>40.5</v>
      </c>
      <c r="G314" s="10" t="n">
        <v>12.2</v>
      </c>
      <c r="H314" s="10" t="n">
        <v>0</v>
      </c>
    </row>
    <row r="315" customFormat="false" ht="15" hidden="false" customHeight="false" outlineLevel="0" collapsed="false">
      <c r="A315" s="8"/>
      <c r="B315" s="5"/>
      <c r="C315" s="5" t="s">
        <v>486</v>
      </c>
      <c r="D315" s="8" t="n">
        <v>430</v>
      </c>
      <c r="E315" s="9" t="n">
        <v>559</v>
      </c>
      <c r="F315" s="10" t="n">
        <v>11.6</v>
      </c>
      <c r="G315" s="10" t="n">
        <v>1.3</v>
      </c>
      <c r="H315" s="10" t="n">
        <v>121.3</v>
      </c>
    </row>
    <row r="316" customFormat="false" ht="15" hidden="false" customHeight="false" outlineLevel="0" collapsed="false">
      <c r="A316" s="8"/>
      <c r="B316" s="5"/>
      <c r="C316" s="5" t="s">
        <v>607</v>
      </c>
      <c r="D316" s="8" t="n">
        <v>35</v>
      </c>
      <c r="E316" s="9" t="n">
        <v>206</v>
      </c>
      <c r="F316" s="10" t="n">
        <v>8.8</v>
      </c>
      <c r="G316" s="10" t="n">
        <v>17.1</v>
      </c>
      <c r="H316" s="10" t="n">
        <v>5.2</v>
      </c>
    </row>
    <row r="317" customFormat="false" ht="15" hidden="false" customHeight="false" outlineLevel="0" collapsed="false">
      <c r="A317" s="8"/>
      <c r="B317" s="5"/>
      <c r="C317" s="5" t="s">
        <v>526</v>
      </c>
      <c r="D317" s="8" t="n">
        <v>180</v>
      </c>
      <c r="E317" s="9" t="n">
        <v>72</v>
      </c>
      <c r="F317" s="10" t="n">
        <v>3.6</v>
      </c>
      <c r="G317" s="10" t="n">
        <v>0.9</v>
      </c>
      <c r="H317" s="10" t="n">
        <v>11.7</v>
      </c>
    </row>
    <row r="318" customFormat="false" ht="15" hidden="false" customHeight="false" outlineLevel="0" collapsed="false">
      <c r="A318" s="8"/>
      <c r="B318" s="5"/>
      <c r="C318" s="5" t="s">
        <v>488</v>
      </c>
      <c r="D318" s="8" t="n">
        <v>10</v>
      </c>
      <c r="E318" s="9" t="n">
        <v>30</v>
      </c>
      <c r="F318" s="10" t="n">
        <v>0</v>
      </c>
      <c r="G318" s="10" t="n">
        <v>0</v>
      </c>
      <c r="H318" s="10" t="n">
        <v>8.2</v>
      </c>
    </row>
    <row r="319" customFormat="false" ht="15" hidden="false" customHeight="false" outlineLevel="0" collapsed="false">
      <c r="A319" s="3"/>
      <c r="B319" s="3"/>
      <c r="C319" s="15" t="s">
        <v>493</v>
      </c>
      <c r="D319" s="3"/>
      <c r="E319" s="16" t="n">
        <f aca="false">SUM(E314:E318)</f>
        <v>1144</v>
      </c>
      <c r="F319" s="17" t="n">
        <f aca="false">SUM(F314:F318)</f>
        <v>64.5</v>
      </c>
      <c r="G319" s="17" t="n">
        <f aca="false">SUM(G314:G318)</f>
        <v>31.5</v>
      </c>
      <c r="H319" s="17" t="n">
        <f aca="false">SUM(H314:H318)</f>
        <v>146.4</v>
      </c>
    </row>
    <row r="321" customFormat="false" ht="15" hidden="false" customHeight="false" outlineLevel="0" collapsed="false">
      <c r="A321" s="8" t="s">
        <v>608</v>
      </c>
      <c r="B321" s="5" t="s">
        <v>415</v>
      </c>
      <c r="C321" s="5" t="s">
        <v>566</v>
      </c>
      <c r="D321" s="8" t="n">
        <v>150</v>
      </c>
      <c r="E321" s="9" t="n">
        <v>158</v>
      </c>
      <c r="F321" s="10" t="n">
        <v>34.5</v>
      </c>
      <c r="G321" s="10" t="n">
        <v>1.4</v>
      </c>
      <c r="H321" s="10" t="n">
        <v>0</v>
      </c>
    </row>
    <row r="322" customFormat="false" ht="15" hidden="false" customHeight="false" outlineLevel="0" collapsed="false">
      <c r="A322" s="8"/>
      <c r="B322" s="5"/>
      <c r="C322" s="5" t="s">
        <v>609</v>
      </c>
      <c r="D322" s="8" t="n">
        <v>530</v>
      </c>
      <c r="E322" s="9" t="n">
        <v>461</v>
      </c>
      <c r="F322" s="10" t="n">
        <v>10.6</v>
      </c>
      <c r="G322" s="10" t="n">
        <v>0.5</v>
      </c>
      <c r="H322" s="10" t="n">
        <v>106</v>
      </c>
    </row>
    <row r="323" customFormat="false" ht="15" hidden="false" customHeight="false" outlineLevel="0" collapsed="false">
      <c r="A323" s="8"/>
      <c r="B323" s="5"/>
      <c r="C323" s="5" t="s">
        <v>557</v>
      </c>
      <c r="D323" s="8" t="n">
        <v>200</v>
      </c>
      <c r="E323" s="9" t="n">
        <v>46</v>
      </c>
      <c r="F323" s="10" t="n">
        <v>6</v>
      </c>
      <c r="G323" s="10" t="n">
        <v>0.6</v>
      </c>
      <c r="H323" s="10" t="n">
        <v>7.6</v>
      </c>
    </row>
    <row r="324" customFormat="false" ht="15" hidden="false" customHeight="false" outlineLevel="0" collapsed="false">
      <c r="A324" s="8"/>
      <c r="B324" s="5"/>
      <c r="C324" s="5" t="s">
        <v>505</v>
      </c>
      <c r="D324" s="8" t="n">
        <v>12</v>
      </c>
      <c r="E324" s="9" t="n">
        <v>86</v>
      </c>
      <c r="F324" s="10" t="n">
        <v>0.1</v>
      </c>
      <c r="G324" s="10" t="n">
        <v>9.7</v>
      </c>
      <c r="H324" s="10" t="n">
        <v>0</v>
      </c>
    </row>
    <row r="325" customFormat="false" ht="15" hidden="false" customHeight="false" outlineLevel="0" collapsed="false">
      <c r="A325" s="8"/>
      <c r="B325" s="5"/>
      <c r="C325" s="5" t="s">
        <v>489</v>
      </c>
      <c r="D325" s="8" t="n">
        <v>8</v>
      </c>
      <c r="E325" s="9" t="n">
        <v>71</v>
      </c>
      <c r="F325" s="10" t="n">
        <v>0</v>
      </c>
      <c r="G325" s="10" t="n">
        <v>8</v>
      </c>
      <c r="H325" s="10" t="n">
        <v>0</v>
      </c>
    </row>
    <row r="326" customFormat="false" ht="15" hidden="false" customHeight="false" outlineLevel="0" collapsed="false">
      <c r="A326" s="8"/>
      <c r="B326" s="5"/>
      <c r="C326" s="5" t="s">
        <v>541</v>
      </c>
      <c r="D326" s="8" t="n">
        <v>50</v>
      </c>
      <c r="E326" s="9" t="n">
        <v>23</v>
      </c>
      <c r="F326" s="10" t="n">
        <v>1.7</v>
      </c>
      <c r="G326" s="10" t="n">
        <v>0.8</v>
      </c>
      <c r="H326" s="10" t="n">
        <v>2.4</v>
      </c>
    </row>
    <row r="327" customFormat="false" ht="15" hidden="false" customHeight="false" outlineLevel="0" collapsed="false">
      <c r="A327" s="3"/>
      <c r="B327" s="3"/>
      <c r="C327" s="15" t="s">
        <v>493</v>
      </c>
      <c r="D327" s="3"/>
      <c r="E327" s="16" t="n">
        <f aca="false">SUM(E321:E326)</f>
        <v>845</v>
      </c>
      <c r="F327" s="17" t="n">
        <f aca="false">SUM(F321:F326)</f>
        <v>52.9</v>
      </c>
      <c r="G327" s="17" t="n">
        <f aca="false">SUM(G321:G326)</f>
        <v>21</v>
      </c>
      <c r="H327" s="17" t="n">
        <f aca="false">SUM(H321:H326)</f>
        <v>116</v>
      </c>
    </row>
    <row r="329" customFormat="false" ht="15" hidden="false" customHeight="false" outlineLevel="0" collapsed="false">
      <c r="A329" s="8" t="s">
        <v>610</v>
      </c>
      <c r="B329" s="5" t="s">
        <v>418</v>
      </c>
      <c r="C329" s="5" t="s">
        <v>547</v>
      </c>
      <c r="D329" s="8" t="n">
        <v>130</v>
      </c>
      <c r="E329" s="9" t="n">
        <v>306</v>
      </c>
      <c r="F329" s="10" t="n">
        <v>32.5</v>
      </c>
      <c r="G329" s="10" t="n">
        <v>18.9</v>
      </c>
      <c r="H329" s="10" t="n">
        <v>1.3</v>
      </c>
    </row>
    <row r="330" customFormat="false" ht="15" hidden="false" customHeight="false" outlineLevel="0" collapsed="false">
      <c r="A330" s="8"/>
      <c r="B330" s="5"/>
      <c r="C330" s="5" t="s">
        <v>521</v>
      </c>
      <c r="D330" s="8" t="n">
        <v>440</v>
      </c>
      <c r="E330" s="9" t="n">
        <v>493</v>
      </c>
      <c r="F330" s="10" t="n">
        <v>16.7</v>
      </c>
      <c r="G330" s="10" t="n">
        <v>0.9</v>
      </c>
      <c r="H330" s="10" t="n">
        <v>102.1</v>
      </c>
    </row>
    <row r="331" customFormat="false" ht="15" hidden="false" customHeight="false" outlineLevel="0" collapsed="false">
      <c r="A331" s="8"/>
      <c r="B331" s="5"/>
      <c r="C331" s="5" t="s">
        <v>536</v>
      </c>
      <c r="D331" s="8" t="n">
        <v>60</v>
      </c>
      <c r="E331" s="9" t="n">
        <v>9</v>
      </c>
      <c r="F331" s="10" t="n">
        <v>0.6</v>
      </c>
      <c r="G331" s="10" t="n">
        <v>0.1</v>
      </c>
      <c r="H331" s="10" t="n">
        <v>1.2</v>
      </c>
    </row>
    <row r="332" customFormat="false" ht="15" hidden="false" customHeight="false" outlineLevel="0" collapsed="false">
      <c r="A332" s="8"/>
      <c r="B332" s="5"/>
      <c r="C332" s="5" t="s">
        <v>537</v>
      </c>
      <c r="D332" s="8" t="n">
        <v>90</v>
      </c>
      <c r="E332" s="9" t="n">
        <v>16</v>
      </c>
      <c r="F332" s="10" t="n">
        <v>0.8</v>
      </c>
      <c r="G332" s="10" t="n">
        <v>0.2</v>
      </c>
      <c r="H332" s="10" t="n">
        <v>3.5</v>
      </c>
    </row>
    <row r="333" customFormat="false" ht="15" hidden="false" customHeight="false" outlineLevel="0" collapsed="false">
      <c r="A333" s="8"/>
      <c r="B333" s="5"/>
      <c r="C333" s="5" t="s">
        <v>545</v>
      </c>
      <c r="D333" s="8" t="n">
        <v>80</v>
      </c>
      <c r="E333" s="9" t="n">
        <v>88</v>
      </c>
      <c r="F333" s="10" t="n">
        <v>2.8</v>
      </c>
      <c r="G333" s="10" t="n">
        <v>6.8</v>
      </c>
      <c r="H333" s="10" t="n">
        <v>3.2</v>
      </c>
    </row>
    <row r="334" customFormat="false" ht="15" hidden="false" customHeight="false" outlineLevel="0" collapsed="false">
      <c r="A334" s="8"/>
      <c r="B334" s="5"/>
      <c r="C334" s="5" t="s">
        <v>492</v>
      </c>
      <c r="D334" s="8" t="n">
        <v>100</v>
      </c>
      <c r="E334" s="9" t="n">
        <v>35</v>
      </c>
      <c r="F334" s="10" t="n">
        <v>0.8</v>
      </c>
      <c r="G334" s="10" t="n">
        <v>0.2</v>
      </c>
      <c r="H334" s="10" t="n">
        <v>8.2</v>
      </c>
    </row>
    <row r="335" customFormat="false" ht="15" hidden="false" customHeight="false" outlineLevel="0" collapsed="false">
      <c r="A335" s="3"/>
      <c r="B335" s="3"/>
      <c r="C335" s="15" t="s">
        <v>493</v>
      </c>
      <c r="D335" s="3"/>
      <c r="E335" s="16" t="n">
        <f aca="false">SUM(E329:E334)</f>
        <v>947</v>
      </c>
      <c r="F335" s="17" t="n">
        <f aca="false">SUM(F329:F334)</f>
        <v>54.2</v>
      </c>
      <c r="G335" s="17" t="n">
        <f aca="false">SUM(G329:G334)</f>
        <v>27.1</v>
      </c>
      <c r="H335" s="17" t="n">
        <f aca="false">SUM(H329:H334)</f>
        <v>119.5</v>
      </c>
    </row>
    <row r="337" customFormat="false" ht="15" hidden="false" customHeight="false" outlineLevel="0" collapsed="false">
      <c r="A337" s="8" t="s">
        <v>611</v>
      </c>
      <c r="B337" s="5" t="s">
        <v>421</v>
      </c>
      <c r="C337" s="5" t="s">
        <v>496</v>
      </c>
      <c r="D337" s="8" t="n">
        <v>130</v>
      </c>
      <c r="E337" s="9" t="n">
        <v>234</v>
      </c>
      <c r="F337" s="10" t="n">
        <v>33.8</v>
      </c>
      <c r="G337" s="10" t="n">
        <v>10.4</v>
      </c>
      <c r="H337" s="10" t="n">
        <v>0</v>
      </c>
    </row>
    <row r="338" customFormat="false" ht="15" hidden="false" customHeight="false" outlineLevel="0" collapsed="false">
      <c r="A338" s="8"/>
      <c r="B338" s="5"/>
      <c r="C338" s="5" t="s">
        <v>517</v>
      </c>
      <c r="D338" s="8" t="n">
        <v>500</v>
      </c>
      <c r="E338" s="9" t="n">
        <v>525</v>
      </c>
      <c r="F338" s="10" t="n">
        <v>11.5</v>
      </c>
      <c r="G338" s="10" t="n">
        <v>12.5</v>
      </c>
      <c r="H338" s="10" t="n">
        <v>87.5</v>
      </c>
    </row>
    <row r="339" customFormat="false" ht="15" hidden="false" customHeight="false" outlineLevel="0" collapsed="false">
      <c r="A339" s="8"/>
      <c r="B339" s="5"/>
      <c r="C339" s="5" t="s">
        <v>576</v>
      </c>
      <c r="D339" s="8" t="n">
        <v>150</v>
      </c>
      <c r="E339" s="9" t="n">
        <v>126</v>
      </c>
      <c r="F339" s="10" t="n">
        <v>8.1</v>
      </c>
      <c r="G339" s="10" t="n">
        <v>0.3</v>
      </c>
      <c r="H339" s="10" t="n">
        <v>23.4</v>
      </c>
    </row>
    <row r="340" customFormat="false" ht="15" hidden="false" customHeight="false" outlineLevel="0" collapsed="false">
      <c r="A340" s="8"/>
      <c r="B340" s="5"/>
      <c r="C340" s="5" t="s">
        <v>498</v>
      </c>
      <c r="D340" s="8" t="n">
        <v>60</v>
      </c>
      <c r="E340" s="9" t="n">
        <v>49</v>
      </c>
      <c r="F340" s="10" t="n">
        <v>2.6</v>
      </c>
      <c r="G340" s="10" t="n">
        <v>0.3</v>
      </c>
      <c r="H340" s="10" t="n">
        <v>11.3</v>
      </c>
    </row>
    <row r="341" customFormat="false" ht="15" hidden="false" customHeight="false" outlineLevel="0" collapsed="false">
      <c r="A341" s="8"/>
      <c r="B341" s="5"/>
      <c r="C341" s="5" t="s">
        <v>505</v>
      </c>
      <c r="D341" s="8" t="n">
        <v>8</v>
      </c>
      <c r="E341" s="9" t="n">
        <v>57</v>
      </c>
      <c r="F341" s="10" t="n">
        <v>0.1</v>
      </c>
      <c r="G341" s="10" t="n">
        <v>6.5</v>
      </c>
      <c r="H341" s="10" t="n">
        <v>0</v>
      </c>
    </row>
    <row r="342" customFormat="false" ht="15" hidden="false" customHeight="false" outlineLevel="0" collapsed="false">
      <c r="A342" s="3"/>
      <c r="B342" s="3"/>
      <c r="C342" s="15" t="s">
        <v>493</v>
      </c>
      <c r="D342" s="3"/>
      <c r="E342" s="16" t="n">
        <f aca="false">SUM(E337:E341)</f>
        <v>991</v>
      </c>
      <c r="F342" s="17" t="n">
        <f aca="false">SUM(F337:F341)</f>
        <v>56.1</v>
      </c>
      <c r="G342" s="17" t="n">
        <f aca="false">SUM(G337:G341)</f>
        <v>30</v>
      </c>
      <c r="H342" s="17" t="n">
        <f aca="false">SUM(H337:H341)</f>
        <v>122.2</v>
      </c>
    </row>
    <row r="344" customFormat="false" ht="15" hidden="false" customHeight="false" outlineLevel="0" collapsed="false">
      <c r="A344" s="8" t="s">
        <v>612</v>
      </c>
      <c r="B344" s="5" t="s">
        <v>424</v>
      </c>
      <c r="C344" s="5" t="s">
        <v>556</v>
      </c>
      <c r="D344" s="8" t="n">
        <v>160</v>
      </c>
      <c r="E344" s="9" t="n">
        <v>158</v>
      </c>
      <c r="F344" s="10" t="n">
        <v>38.4</v>
      </c>
      <c r="G344" s="10" t="n">
        <v>0.5</v>
      </c>
      <c r="H344" s="10" t="n">
        <v>0.3</v>
      </c>
    </row>
    <row r="345" customFormat="false" ht="15" hidden="false" customHeight="false" outlineLevel="0" collapsed="false">
      <c r="A345" s="8"/>
      <c r="B345" s="5"/>
      <c r="C345" s="5" t="s">
        <v>525</v>
      </c>
      <c r="D345" s="8" t="n">
        <v>420</v>
      </c>
      <c r="E345" s="9" t="n">
        <v>580</v>
      </c>
      <c r="F345" s="10" t="n">
        <v>18.9</v>
      </c>
      <c r="G345" s="10" t="n">
        <v>8.8</v>
      </c>
      <c r="H345" s="10" t="n">
        <v>105</v>
      </c>
    </row>
    <row r="346" customFormat="false" ht="15" hidden="false" customHeight="false" outlineLevel="0" collapsed="false">
      <c r="A346" s="8"/>
      <c r="B346" s="5"/>
      <c r="C346" s="5" t="s">
        <v>526</v>
      </c>
      <c r="D346" s="8" t="n">
        <v>200</v>
      </c>
      <c r="E346" s="9" t="n">
        <v>80</v>
      </c>
      <c r="F346" s="10" t="n">
        <v>4</v>
      </c>
      <c r="G346" s="10" t="n">
        <v>1</v>
      </c>
      <c r="H346" s="10" t="n">
        <v>13</v>
      </c>
    </row>
    <row r="347" customFormat="false" ht="15" hidden="false" customHeight="false" outlineLevel="0" collapsed="false">
      <c r="A347" s="8"/>
      <c r="B347" s="5"/>
      <c r="C347" s="5" t="s">
        <v>489</v>
      </c>
      <c r="D347" s="8" t="n">
        <v>14</v>
      </c>
      <c r="E347" s="9" t="n">
        <v>124</v>
      </c>
      <c r="F347" s="10" t="n">
        <v>0</v>
      </c>
      <c r="G347" s="10" t="n">
        <v>14</v>
      </c>
      <c r="H347" s="10" t="n">
        <v>0</v>
      </c>
    </row>
    <row r="348" customFormat="false" ht="15" hidden="false" customHeight="false" outlineLevel="0" collapsed="false">
      <c r="A348" s="8"/>
      <c r="B348" s="5"/>
      <c r="C348" s="5" t="s">
        <v>490</v>
      </c>
      <c r="D348" s="8" t="n">
        <v>8</v>
      </c>
      <c r="E348" s="9" t="n">
        <v>12</v>
      </c>
      <c r="F348" s="10" t="n">
        <v>0.5</v>
      </c>
      <c r="G348" s="10" t="n">
        <v>0</v>
      </c>
      <c r="H348" s="10" t="n">
        <v>2.6</v>
      </c>
    </row>
    <row r="349" customFormat="false" ht="15" hidden="false" customHeight="false" outlineLevel="0" collapsed="false">
      <c r="A349" s="8"/>
      <c r="B349" s="5"/>
      <c r="C349" s="5" t="s">
        <v>488</v>
      </c>
      <c r="D349" s="8" t="n">
        <v>10</v>
      </c>
      <c r="E349" s="9" t="n">
        <v>30</v>
      </c>
      <c r="F349" s="10" t="n">
        <v>0</v>
      </c>
      <c r="G349" s="10" t="n">
        <v>0</v>
      </c>
      <c r="H349" s="10" t="n">
        <v>8.2</v>
      </c>
    </row>
    <row r="350" customFormat="false" ht="15" hidden="false" customHeight="false" outlineLevel="0" collapsed="false">
      <c r="A350" s="3"/>
      <c r="B350" s="3"/>
      <c r="C350" s="15" t="s">
        <v>493</v>
      </c>
      <c r="D350" s="3"/>
      <c r="E350" s="16" t="n">
        <f aca="false">SUM(E344:E349)</f>
        <v>984</v>
      </c>
      <c r="F350" s="17" t="n">
        <f aca="false">SUM(F344:F349)</f>
        <v>61.8</v>
      </c>
      <c r="G350" s="17" t="n">
        <f aca="false">SUM(G344:G349)</f>
        <v>24.3</v>
      </c>
      <c r="H350" s="17" t="n">
        <f aca="false">SUM(H344:H349)</f>
        <v>129.1</v>
      </c>
    </row>
    <row r="352" customFormat="false" ht="15" hidden="false" customHeight="false" outlineLevel="0" collapsed="false">
      <c r="A352" s="8" t="s">
        <v>613</v>
      </c>
      <c r="B352" s="5" t="s">
        <v>427</v>
      </c>
      <c r="C352" s="5" t="s">
        <v>485</v>
      </c>
      <c r="D352" s="8" t="n">
        <v>145</v>
      </c>
      <c r="E352" s="9" t="n">
        <v>239</v>
      </c>
      <c r="F352" s="10" t="n">
        <v>45</v>
      </c>
      <c r="G352" s="10" t="n">
        <v>5.2</v>
      </c>
      <c r="H352" s="10" t="n">
        <v>0</v>
      </c>
    </row>
    <row r="353" customFormat="false" ht="15" hidden="false" customHeight="false" outlineLevel="0" collapsed="false">
      <c r="A353" s="8"/>
      <c r="B353" s="5"/>
      <c r="C353" s="5" t="s">
        <v>553</v>
      </c>
      <c r="D353" s="8" t="n">
        <v>430</v>
      </c>
      <c r="E353" s="9" t="n">
        <v>529</v>
      </c>
      <c r="F353" s="10" t="n">
        <v>9.9</v>
      </c>
      <c r="G353" s="10" t="n">
        <v>1.7</v>
      </c>
      <c r="H353" s="10" t="n">
        <v>121.3</v>
      </c>
    </row>
    <row r="354" customFormat="false" ht="15" hidden="false" customHeight="false" outlineLevel="0" collapsed="false">
      <c r="A354" s="8"/>
      <c r="B354" s="5"/>
      <c r="C354" s="5" t="s">
        <v>518</v>
      </c>
      <c r="D354" s="8" t="n">
        <v>180</v>
      </c>
      <c r="E354" s="9" t="n">
        <v>50</v>
      </c>
      <c r="F354" s="10" t="n">
        <v>5.6</v>
      </c>
      <c r="G354" s="10" t="n">
        <v>0.7</v>
      </c>
      <c r="H354" s="10" t="n">
        <v>7.2</v>
      </c>
    </row>
    <row r="355" customFormat="false" ht="15" hidden="false" customHeight="false" outlineLevel="0" collapsed="false">
      <c r="A355" s="8"/>
      <c r="B355" s="5"/>
      <c r="C355" s="5" t="s">
        <v>541</v>
      </c>
      <c r="D355" s="8" t="n">
        <v>100</v>
      </c>
      <c r="E355" s="9" t="n">
        <v>46</v>
      </c>
      <c r="F355" s="10" t="n">
        <v>3.4</v>
      </c>
      <c r="G355" s="10" t="n">
        <v>1.5</v>
      </c>
      <c r="H355" s="10" t="n">
        <v>4.7</v>
      </c>
    </row>
    <row r="356" customFormat="false" ht="15" hidden="false" customHeight="false" outlineLevel="0" collapsed="false">
      <c r="A356" s="8"/>
      <c r="B356" s="5"/>
      <c r="C356" s="5" t="s">
        <v>489</v>
      </c>
      <c r="D356" s="8" t="n">
        <v>12</v>
      </c>
      <c r="E356" s="9" t="n">
        <v>106</v>
      </c>
      <c r="F356" s="10" t="n">
        <v>0</v>
      </c>
      <c r="G356" s="10" t="n">
        <v>12</v>
      </c>
      <c r="H356" s="10" t="n">
        <v>0</v>
      </c>
    </row>
    <row r="357" customFormat="false" ht="15" hidden="false" customHeight="false" outlineLevel="0" collapsed="false">
      <c r="A357" s="8"/>
      <c r="B357" s="5"/>
      <c r="C357" s="5" t="s">
        <v>499</v>
      </c>
      <c r="D357" s="8" t="n">
        <v>40</v>
      </c>
      <c r="E357" s="9" t="n">
        <v>22</v>
      </c>
      <c r="F357" s="10" t="n">
        <v>0.4</v>
      </c>
      <c r="G357" s="10" t="n">
        <v>1</v>
      </c>
      <c r="H357" s="10" t="n">
        <v>3</v>
      </c>
    </row>
    <row r="358" customFormat="false" ht="15" hidden="false" customHeight="false" outlineLevel="0" collapsed="false">
      <c r="A358" s="8"/>
      <c r="B358" s="5"/>
      <c r="C358" s="5" t="s">
        <v>492</v>
      </c>
      <c r="D358" s="8" t="n">
        <v>100</v>
      </c>
      <c r="E358" s="9" t="n">
        <v>35</v>
      </c>
      <c r="F358" s="10" t="n">
        <v>0.8</v>
      </c>
      <c r="G358" s="10" t="n">
        <v>0.2</v>
      </c>
      <c r="H358" s="10" t="n">
        <v>8.2</v>
      </c>
    </row>
    <row r="359" customFormat="false" ht="15" hidden="false" customHeight="false" outlineLevel="0" collapsed="false">
      <c r="A359" s="3"/>
      <c r="B359" s="3"/>
      <c r="C359" s="15" t="s">
        <v>493</v>
      </c>
      <c r="D359" s="3"/>
      <c r="E359" s="16" t="n">
        <f aca="false">SUM(E352:E358)</f>
        <v>1027</v>
      </c>
      <c r="F359" s="17" t="n">
        <f aca="false">SUM(F352:F358)</f>
        <v>65.1</v>
      </c>
      <c r="G359" s="17" t="n">
        <f aca="false">SUM(G352:G358)</f>
        <v>22.3</v>
      </c>
      <c r="H359" s="17" t="n">
        <f aca="false">SUM(H352:H358)</f>
        <v>144.4</v>
      </c>
    </row>
    <row r="361" customFormat="false" ht="15" hidden="false" customHeight="false" outlineLevel="0" collapsed="false">
      <c r="A361" s="8" t="s">
        <v>614</v>
      </c>
      <c r="B361" s="5" t="s">
        <v>430</v>
      </c>
      <c r="C361" s="5" t="s">
        <v>524</v>
      </c>
      <c r="D361" s="8" t="n">
        <v>135</v>
      </c>
      <c r="E361" s="9" t="n">
        <v>277</v>
      </c>
      <c r="F361" s="10" t="n">
        <v>40.5</v>
      </c>
      <c r="G361" s="10" t="n">
        <v>12.2</v>
      </c>
      <c r="H361" s="10" t="n">
        <v>0</v>
      </c>
    </row>
    <row r="362" customFormat="false" ht="15" hidden="false" customHeight="false" outlineLevel="0" collapsed="false">
      <c r="A362" s="8"/>
      <c r="B362" s="5"/>
      <c r="C362" s="5" t="s">
        <v>609</v>
      </c>
      <c r="D362" s="8" t="n">
        <v>530</v>
      </c>
      <c r="E362" s="9" t="n">
        <v>461</v>
      </c>
      <c r="F362" s="10" t="n">
        <v>10.6</v>
      </c>
      <c r="G362" s="10" t="n">
        <v>0.5</v>
      </c>
      <c r="H362" s="10" t="n">
        <v>106</v>
      </c>
    </row>
    <row r="363" customFormat="false" ht="15" hidden="false" customHeight="false" outlineLevel="0" collapsed="false">
      <c r="A363" s="8"/>
      <c r="B363" s="5"/>
      <c r="C363" s="5" t="s">
        <v>492</v>
      </c>
      <c r="D363" s="8" t="n">
        <v>150</v>
      </c>
      <c r="E363" s="9" t="n">
        <v>52</v>
      </c>
      <c r="F363" s="10" t="n">
        <v>1.2</v>
      </c>
      <c r="G363" s="10" t="n">
        <v>0.3</v>
      </c>
      <c r="H363" s="10" t="n">
        <v>12.3</v>
      </c>
    </row>
    <row r="364" customFormat="false" ht="15" hidden="false" customHeight="false" outlineLevel="0" collapsed="false">
      <c r="A364" s="8"/>
      <c r="B364" s="5"/>
      <c r="C364" s="5" t="s">
        <v>499</v>
      </c>
      <c r="D364" s="8" t="n">
        <v>60</v>
      </c>
      <c r="E364" s="9" t="n">
        <v>33</v>
      </c>
      <c r="F364" s="10" t="n">
        <v>0.7</v>
      </c>
      <c r="G364" s="10" t="n">
        <v>1.5</v>
      </c>
      <c r="H364" s="10" t="n">
        <v>4.6</v>
      </c>
    </row>
    <row r="365" customFormat="false" ht="15" hidden="false" customHeight="false" outlineLevel="0" collapsed="false">
      <c r="A365" s="8"/>
      <c r="B365" s="5"/>
      <c r="C365" s="5" t="s">
        <v>498</v>
      </c>
      <c r="D365" s="8" t="n">
        <v>80</v>
      </c>
      <c r="E365" s="9" t="n">
        <v>66</v>
      </c>
      <c r="F365" s="10" t="n">
        <v>3.4</v>
      </c>
      <c r="G365" s="10" t="n">
        <v>0.4</v>
      </c>
      <c r="H365" s="10" t="n">
        <v>15.1</v>
      </c>
    </row>
    <row r="366" customFormat="false" ht="15" hidden="false" customHeight="false" outlineLevel="0" collapsed="false">
      <c r="A366" s="8"/>
      <c r="B366" s="5"/>
      <c r="C366" s="5" t="s">
        <v>489</v>
      </c>
      <c r="D366" s="8" t="n">
        <v>10</v>
      </c>
      <c r="E366" s="9" t="n">
        <v>88</v>
      </c>
      <c r="F366" s="10" t="n">
        <v>0</v>
      </c>
      <c r="G366" s="10" t="n">
        <v>10</v>
      </c>
      <c r="H366" s="10" t="n">
        <v>0</v>
      </c>
    </row>
    <row r="367" customFormat="false" ht="15" hidden="false" customHeight="false" outlineLevel="0" collapsed="false">
      <c r="A367" s="3"/>
      <c r="B367" s="3"/>
      <c r="C367" s="15" t="s">
        <v>493</v>
      </c>
      <c r="D367" s="3"/>
      <c r="E367" s="16" t="n">
        <f aca="false">SUM(E361:E366)</f>
        <v>977</v>
      </c>
      <c r="F367" s="17" t="n">
        <f aca="false">SUM(F361:F366)</f>
        <v>56.4</v>
      </c>
      <c r="G367" s="17" t="n">
        <f aca="false">SUM(G361:G366)</f>
        <v>24.9</v>
      </c>
      <c r="H367" s="17" t="n">
        <f aca="false">SUM(H361:H366)</f>
        <v>138</v>
      </c>
    </row>
    <row r="369" customFormat="false" ht="15" hidden="false" customHeight="false" outlineLevel="0" collapsed="false">
      <c r="A369" s="8" t="s">
        <v>615</v>
      </c>
      <c r="B369" s="5" t="s">
        <v>433</v>
      </c>
      <c r="C369" s="5" t="s">
        <v>552</v>
      </c>
      <c r="D369" s="8" t="n">
        <v>130</v>
      </c>
      <c r="E369" s="9" t="n">
        <v>151</v>
      </c>
      <c r="F369" s="10" t="n">
        <v>33.8</v>
      </c>
      <c r="G369" s="10" t="n">
        <v>1.3</v>
      </c>
      <c r="H369" s="10" t="n">
        <v>0</v>
      </c>
    </row>
    <row r="370" customFormat="false" ht="15" hidden="false" customHeight="false" outlineLevel="0" collapsed="false">
      <c r="A370" s="8"/>
      <c r="B370" s="5"/>
      <c r="C370" s="5" t="s">
        <v>495</v>
      </c>
      <c r="D370" s="8" t="n">
        <v>430</v>
      </c>
      <c r="E370" s="9" t="n">
        <v>679</v>
      </c>
      <c r="F370" s="10" t="n">
        <v>24.9</v>
      </c>
      <c r="G370" s="10" t="n">
        <v>3.9</v>
      </c>
      <c r="H370" s="10" t="n">
        <v>132.9</v>
      </c>
    </row>
    <row r="371" customFormat="false" ht="15" hidden="false" customHeight="false" outlineLevel="0" collapsed="false">
      <c r="A371" s="8"/>
      <c r="B371" s="5"/>
      <c r="C371" s="5" t="s">
        <v>498</v>
      </c>
      <c r="D371" s="8" t="n">
        <v>150</v>
      </c>
      <c r="E371" s="9" t="n">
        <v>123</v>
      </c>
      <c r="F371" s="10" t="n">
        <v>6.5</v>
      </c>
      <c r="G371" s="10" t="n">
        <v>0.8</v>
      </c>
      <c r="H371" s="10" t="n">
        <v>28.4</v>
      </c>
    </row>
    <row r="372" customFormat="false" ht="15" hidden="false" customHeight="false" outlineLevel="0" collapsed="false">
      <c r="A372" s="8"/>
      <c r="B372" s="5"/>
      <c r="C372" s="5" t="s">
        <v>499</v>
      </c>
      <c r="D372" s="8" t="n">
        <v>50</v>
      </c>
      <c r="E372" s="9" t="n">
        <v>28</v>
      </c>
      <c r="F372" s="10" t="n">
        <v>0.6</v>
      </c>
      <c r="G372" s="10" t="n">
        <v>1.2</v>
      </c>
      <c r="H372" s="10" t="n">
        <v>3.8</v>
      </c>
    </row>
    <row r="373" customFormat="false" ht="15" hidden="false" customHeight="false" outlineLevel="0" collapsed="false">
      <c r="A373" s="8"/>
      <c r="B373" s="5"/>
      <c r="C373" s="5" t="s">
        <v>489</v>
      </c>
      <c r="D373" s="8" t="n">
        <v>14</v>
      </c>
      <c r="E373" s="9" t="n">
        <v>124</v>
      </c>
      <c r="F373" s="10" t="n">
        <v>0</v>
      </c>
      <c r="G373" s="10" t="n">
        <v>14</v>
      </c>
      <c r="H373" s="10" t="n">
        <v>0</v>
      </c>
    </row>
    <row r="374" customFormat="false" ht="15" hidden="false" customHeight="false" outlineLevel="0" collapsed="false">
      <c r="A374" s="8"/>
      <c r="B374" s="5"/>
      <c r="C374" s="5" t="s">
        <v>500</v>
      </c>
      <c r="D374" s="8" t="n">
        <v>18</v>
      </c>
      <c r="E374" s="9" t="n">
        <v>71</v>
      </c>
      <c r="F374" s="10" t="n">
        <v>6.4</v>
      </c>
      <c r="G374" s="10" t="n">
        <v>4.6</v>
      </c>
      <c r="H374" s="10" t="n">
        <v>0.6</v>
      </c>
    </row>
    <row r="375" customFormat="false" ht="15" hidden="false" customHeight="false" outlineLevel="0" collapsed="false">
      <c r="A375" s="8"/>
      <c r="B375" s="5"/>
      <c r="C375" s="5" t="s">
        <v>492</v>
      </c>
      <c r="D375" s="8" t="n">
        <v>100</v>
      </c>
      <c r="E375" s="9" t="n">
        <v>35</v>
      </c>
      <c r="F375" s="10" t="n">
        <v>0.8</v>
      </c>
      <c r="G375" s="10" t="n">
        <v>0.2</v>
      </c>
      <c r="H375" s="10" t="n">
        <v>8.2</v>
      </c>
    </row>
    <row r="376" customFormat="false" ht="15" hidden="false" customHeight="false" outlineLevel="0" collapsed="false">
      <c r="A376" s="3"/>
      <c r="B376" s="3"/>
      <c r="C376" s="15" t="s">
        <v>493</v>
      </c>
      <c r="D376" s="3"/>
      <c r="E376" s="16" t="n">
        <f aca="false">SUM(E369:E375)</f>
        <v>1211</v>
      </c>
      <c r="F376" s="17" t="n">
        <f aca="false">SUM(F369:F375)</f>
        <v>73</v>
      </c>
      <c r="G376" s="17" t="n">
        <f aca="false">SUM(G369:G375)</f>
        <v>26</v>
      </c>
      <c r="H376" s="17" t="n">
        <f aca="false">SUM(H369:H375)</f>
        <v>173.9</v>
      </c>
    </row>
    <row r="378" customFormat="false" ht="15" hidden="false" customHeight="false" outlineLevel="0" collapsed="false">
      <c r="A378" s="8" t="s">
        <v>616</v>
      </c>
      <c r="B378" s="5" t="s">
        <v>436</v>
      </c>
      <c r="C378" s="5" t="s">
        <v>485</v>
      </c>
      <c r="D378" s="8" t="n">
        <v>135</v>
      </c>
      <c r="E378" s="9" t="n">
        <v>223</v>
      </c>
      <c r="F378" s="10" t="n">
        <v>41.9</v>
      </c>
      <c r="G378" s="10" t="n">
        <v>4.9</v>
      </c>
      <c r="H378" s="10" t="n">
        <v>0</v>
      </c>
    </row>
    <row r="379" customFormat="false" ht="15" hidden="false" customHeight="false" outlineLevel="0" collapsed="false">
      <c r="A379" s="8"/>
      <c r="B379" s="5"/>
      <c r="C379" s="5" t="s">
        <v>486</v>
      </c>
      <c r="D379" s="8" t="n">
        <v>400</v>
      </c>
      <c r="E379" s="9" t="n">
        <v>520</v>
      </c>
      <c r="F379" s="10" t="n">
        <v>10.8</v>
      </c>
      <c r="G379" s="10" t="n">
        <v>1.2</v>
      </c>
      <c r="H379" s="10" t="n">
        <v>112.8</v>
      </c>
    </row>
    <row r="380" customFormat="false" ht="15" hidden="false" customHeight="false" outlineLevel="0" collapsed="false">
      <c r="A380" s="8"/>
      <c r="B380" s="5"/>
      <c r="C380" s="5" t="s">
        <v>529</v>
      </c>
      <c r="D380" s="8" t="n">
        <v>150</v>
      </c>
      <c r="E380" s="9" t="n">
        <v>136</v>
      </c>
      <c r="F380" s="10" t="n">
        <v>9</v>
      </c>
      <c r="G380" s="10" t="n">
        <v>0.6</v>
      </c>
      <c r="H380" s="10" t="n">
        <v>23.7</v>
      </c>
    </row>
    <row r="381" customFormat="false" ht="15" hidden="false" customHeight="false" outlineLevel="0" collapsed="false">
      <c r="A381" s="8"/>
      <c r="B381" s="5"/>
      <c r="C381" s="5" t="s">
        <v>513</v>
      </c>
      <c r="D381" s="8" t="n">
        <v>140</v>
      </c>
      <c r="E381" s="9" t="n">
        <v>43</v>
      </c>
      <c r="F381" s="10" t="n">
        <v>1.4</v>
      </c>
      <c r="G381" s="10" t="n">
        <v>0.4</v>
      </c>
      <c r="H381" s="10" t="n">
        <v>8.4</v>
      </c>
    </row>
    <row r="382" customFormat="false" ht="15" hidden="false" customHeight="false" outlineLevel="0" collapsed="false">
      <c r="A382" s="8"/>
      <c r="B382" s="5"/>
      <c r="C382" s="5" t="s">
        <v>530</v>
      </c>
      <c r="D382" s="8" t="n">
        <v>60</v>
      </c>
      <c r="E382" s="9" t="n">
        <v>99</v>
      </c>
      <c r="F382" s="10" t="n">
        <v>1.2</v>
      </c>
      <c r="G382" s="10" t="n">
        <v>9</v>
      </c>
      <c r="H382" s="10" t="n">
        <v>4.8</v>
      </c>
    </row>
    <row r="383" customFormat="false" ht="15" hidden="false" customHeight="false" outlineLevel="0" collapsed="false">
      <c r="A383" s="8"/>
      <c r="B383" s="5"/>
      <c r="C383" s="5" t="s">
        <v>499</v>
      </c>
      <c r="D383" s="8" t="n">
        <v>40</v>
      </c>
      <c r="E383" s="9" t="n">
        <v>22</v>
      </c>
      <c r="F383" s="10" t="n">
        <v>0.4</v>
      </c>
      <c r="G383" s="10" t="n">
        <v>1</v>
      </c>
      <c r="H383" s="10" t="n">
        <v>3</v>
      </c>
    </row>
    <row r="384" customFormat="false" ht="15" hidden="false" customHeight="false" outlineLevel="0" collapsed="false">
      <c r="A384" s="8"/>
      <c r="B384" s="5"/>
      <c r="C384" s="5" t="s">
        <v>492</v>
      </c>
      <c r="D384" s="8" t="n">
        <v>100</v>
      </c>
      <c r="E384" s="9" t="n">
        <v>35</v>
      </c>
      <c r="F384" s="10" t="n">
        <v>0.8</v>
      </c>
      <c r="G384" s="10" t="n">
        <v>0.2</v>
      </c>
      <c r="H384" s="10" t="n">
        <v>8.2</v>
      </c>
    </row>
    <row r="385" customFormat="false" ht="15" hidden="false" customHeight="false" outlineLevel="0" collapsed="false">
      <c r="A385" s="3"/>
      <c r="B385" s="3"/>
      <c r="C385" s="15" t="s">
        <v>493</v>
      </c>
      <c r="D385" s="3"/>
      <c r="E385" s="16" t="n">
        <f aca="false">SUM(E378:E384)</f>
        <v>1078</v>
      </c>
      <c r="F385" s="17" t="n">
        <f aca="false">SUM(F378:F384)</f>
        <v>65.5</v>
      </c>
      <c r="G385" s="17" t="n">
        <f aca="false">SUM(G378:G384)</f>
        <v>17.3</v>
      </c>
      <c r="H385" s="17" t="n">
        <f aca="false">SUM(H378:H384)</f>
        <v>160.9</v>
      </c>
    </row>
    <row r="387" customFormat="false" ht="15" hidden="false" customHeight="false" outlineLevel="0" collapsed="false">
      <c r="A387" s="8" t="s">
        <v>617</v>
      </c>
      <c r="B387" s="5" t="s">
        <v>439</v>
      </c>
      <c r="C387" s="5" t="s">
        <v>568</v>
      </c>
      <c r="D387" s="8" t="n">
        <v>115</v>
      </c>
      <c r="E387" s="9" t="n">
        <v>239</v>
      </c>
      <c r="F387" s="10" t="n">
        <v>25.3</v>
      </c>
      <c r="G387" s="10" t="n">
        <v>14.9</v>
      </c>
      <c r="H387" s="10" t="n">
        <v>0</v>
      </c>
    </row>
    <row r="388" customFormat="false" ht="15" hidden="false" customHeight="false" outlineLevel="0" collapsed="false">
      <c r="A388" s="8"/>
      <c r="B388" s="5"/>
      <c r="C388" s="5" t="s">
        <v>486</v>
      </c>
      <c r="D388" s="8" t="n">
        <v>420</v>
      </c>
      <c r="E388" s="9" t="n">
        <v>546</v>
      </c>
      <c r="F388" s="10" t="n">
        <v>11.3</v>
      </c>
      <c r="G388" s="10" t="n">
        <v>1.3</v>
      </c>
      <c r="H388" s="10" t="n">
        <v>118.4</v>
      </c>
    </row>
    <row r="389" customFormat="false" ht="15" hidden="false" customHeight="false" outlineLevel="0" collapsed="false">
      <c r="A389" s="8"/>
      <c r="B389" s="5"/>
      <c r="C389" s="5" t="s">
        <v>560</v>
      </c>
      <c r="D389" s="8" t="n">
        <v>85</v>
      </c>
      <c r="E389" s="9" t="n">
        <v>104</v>
      </c>
      <c r="F389" s="10" t="n">
        <v>10.1</v>
      </c>
      <c r="G389" s="10" t="n">
        <v>4.4</v>
      </c>
      <c r="H389" s="10" t="n">
        <v>7.6</v>
      </c>
    </row>
    <row r="390" customFormat="false" ht="15" hidden="false" customHeight="false" outlineLevel="0" collapsed="false">
      <c r="A390" s="8"/>
      <c r="B390" s="5"/>
      <c r="C390" s="5" t="s">
        <v>542</v>
      </c>
      <c r="D390" s="8" t="n">
        <v>90</v>
      </c>
      <c r="E390" s="9" t="n">
        <v>14</v>
      </c>
      <c r="F390" s="10" t="n">
        <v>0.6</v>
      </c>
      <c r="G390" s="10" t="n">
        <v>0.1</v>
      </c>
      <c r="H390" s="10" t="n">
        <v>3.2</v>
      </c>
    </row>
    <row r="391" customFormat="false" ht="15" hidden="false" customHeight="false" outlineLevel="0" collapsed="false">
      <c r="A391" s="8"/>
      <c r="B391" s="5"/>
      <c r="C391" s="5" t="s">
        <v>492</v>
      </c>
      <c r="D391" s="8" t="n">
        <v>70</v>
      </c>
      <c r="E391" s="9" t="n">
        <v>24</v>
      </c>
      <c r="F391" s="10" t="n">
        <v>0.6</v>
      </c>
      <c r="G391" s="10" t="n">
        <v>0.1</v>
      </c>
      <c r="H391" s="10" t="n">
        <v>5.7</v>
      </c>
    </row>
    <row r="392" customFormat="false" ht="15" hidden="false" customHeight="false" outlineLevel="0" collapsed="false">
      <c r="A392" s="8"/>
      <c r="B392" s="5"/>
      <c r="C392" s="5" t="s">
        <v>561</v>
      </c>
      <c r="D392" s="8" t="n">
        <v>50</v>
      </c>
      <c r="E392" s="9" t="n">
        <v>80</v>
      </c>
      <c r="F392" s="10" t="n">
        <v>1</v>
      </c>
      <c r="G392" s="10" t="n">
        <v>7.3</v>
      </c>
      <c r="H392" s="10" t="n">
        <v>4.2</v>
      </c>
    </row>
    <row r="393" customFormat="false" ht="15" hidden="false" customHeight="false" outlineLevel="0" collapsed="false">
      <c r="A393" s="8"/>
      <c r="B393" s="5"/>
      <c r="C393" s="5" t="s">
        <v>488</v>
      </c>
      <c r="D393" s="8" t="n">
        <v>10</v>
      </c>
      <c r="E393" s="9" t="n">
        <v>30</v>
      </c>
      <c r="F393" s="10" t="n">
        <v>0</v>
      </c>
      <c r="G393" s="10" t="n">
        <v>0</v>
      </c>
      <c r="H393" s="10" t="n">
        <v>8.2</v>
      </c>
    </row>
    <row r="394" customFormat="false" ht="15" hidden="false" customHeight="false" outlineLevel="0" collapsed="false">
      <c r="A394" s="3"/>
      <c r="B394" s="3"/>
      <c r="C394" s="15" t="s">
        <v>493</v>
      </c>
      <c r="D394" s="3"/>
      <c r="E394" s="16" t="n">
        <f aca="false">SUM(E387:E393)</f>
        <v>1037</v>
      </c>
      <c r="F394" s="17" t="n">
        <f aca="false">SUM(F387:F393)</f>
        <v>48.9</v>
      </c>
      <c r="G394" s="17" t="n">
        <f aca="false">SUM(G387:G393)</f>
        <v>28.1</v>
      </c>
      <c r="H394" s="17" t="n">
        <f aca="false">SUM(H387:H393)</f>
        <v>147.3</v>
      </c>
    </row>
    <row r="396" customFormat="false" ht="15" hidden="false" customHeight="false" outlineLevel="0" collapsed="false">
      <c r="A396" s="8" t="s">
        <v>618</v>
      </c>
      <c r="B396" s="5" t="s">
        <v>442</v>
      </c>
      <c r="C396" s="5" t="s">
        <v>524</v>
      </c>
      <c r="D396" s="8" t="n">
        <v>130</v>
      </c>
      <c r="E396" s="9" t="n">
        <v>266</v>
      </c>
      <c r="F396" s="10" t="n">
        <v>39</v>
      </c>
      <c r="G396" s="10" t="n">
        <v>11.7</v>
      </c>
      <c r="H396" s="10" t="n">
        <v>0</v>
      </c>
    </row>
    <row r="397" customFormat="false" ht="15" hidden="false" customHeight="false" outlineLevel="0" collapsed="false">
      <c r="A397" s="8"/>
      <c r="B397" s="5"/>
      <c r="C397" s="5" t="s">
        <v>528</v>
      </c>
      <c r="D397" s="8" t="n">
        <v>160</v>
      </c>
      <c r="E397" s="9" t="n">
        <v>488</v>
      </c>
      <c r="F397" s="10" t="n">
        <v>13.6</v>
      </c>
      <c r="G397" s="10" t="n">
        <v>12</v>
      </c>
      <c r="H397" s="10" t="n">
        <v>78.4</v>
      </c>
    </row>
    <row r="398" customFormat="false" ht="15" hidden="false" customHeight="false" outlineLevel="0" collapsed="false">
      <c r="A398" s="8"/>
      <c r="B398" s="5"/>
      <c r="C398" s="5" t="s">
        <v>513</v>
      </c>
      <c r="D398" s="8" t="n">
        <v>130</v>
      </c>
      <c r="E398" s="9" t="n">
        <v>40</v>
      </c>
      <c r="F398" s="10" t="n">
        <v>1.3</v>
      </c>
      <c r="G398" s="10" t="n">
        <v>0.4</v>
      </c>
      <c r="H398" s="10" t="n">
        <v>7.8</v>
      </c>
    </row>
    <row r="399" customFormat="false" ht="15" hidden="false" customHeight="false" outlineLevel="0" collapsed="false">
      <c r="A399" s="8"/>
      <c r="B399" s="5"/>
      <c r="C399" s="5" t="s">
        <v>536</v>
      </c>
      <c r="D399" s="8" t="n">
        <v>50</v>
      </c>
      <c r="E399" s="9" t="n">
        <v>8</v>
      </c>
      <c r="F399" s="10" t="n">
        <v>0.5</v>
      </c>
      <c r="G399" s="10" t="n">
        <v>0.1</v>
      </c>
      <c r="H399" s="10" t="n">
        <v>1</v>
      </c>
    </row>
    <row r="400" customFormat="false" ht="15" hidden="false" customHeight="false" outlineLevel="0" collapsed="false">
      <c r="A400" s="8"/>
      <c r="B400" s="5"/>
      <c r="C400" s="5" t="s">
        <v>549</v>
      </c>
      <c r="D400" s="8" t="n">
        <v>50</v>
      </c>
      <c r="E400" s="9" t="n">
        <v>48</v>
      </c>
      <c r="F400" s="10" t="n">
        <v>1.5</v>
      </c>
      <c r="G400" s="10" t="n">
        <v>3</v>
      </c>
      <c r="H400" s="10" t="n">
        <v>3</v>
      </c>
    </row>
    <row r="401" customFormat="false" ht="15" hidden="false" customHeight="false" outlineLevel="0" collapsed="false">
      <c r="A401" s="8"/>
      <c r="B401" s="5"/>
      <c r="C401" s="5" t="s">
        <v>499</v>
      </c>
      <c r="D401" s="8" t="n">
        <v>40</v>
      </c>
      <c r="E401" s="9" t="n">
        <v>22</v>
      </c>
      <c r="F401" s="10" t="n">
        <v>0.4</v>
      </c>
      <c r="G401" s="10" t="n">
        <v>1</v>
      </c>
      <c r="H401" s="10" t="n">
        <v>3</v>
      </c>
    </row>
    <row r="402" customFormat="false" ht="15" hidden="false" customHeight="false" outlineLevel="0" collapsed="false">
      <c r="A402" s="8"/>
      <c r="B402" s="5"/>
      <c r="C402" s="5" t="s">
        <v>492</v>
      </c>
      <c r="D402" s="8" t="n">
        <v>100</v>
      </c>
      <c r="E402" s="9" t="n">
        <v>35</v>
      </c>
      <c r="F402" s="10" t="n">
        <v>0.8</v>
      </c>
      <c r="G402" s="10" t="n">
        <v>0.2</v>
      </c>
      <c r="H402" s="10" t="n">
        <v>8.2</v>
      </c>
    </row>
    <row r="403" customFormat="false" ht="15" hidden="false" customHeight="false" outlineLevel="0" collapsed="false">
      <c r="A403" s="3"/>
      <c r="B403" s="3"/>
      <c r="C403" s="15" t="s">
        <v>493</v>
      </c>
      <c r="D403" s="3"/>
      <c r="E403" s="16" t="n">
        <f aca="false">SUM(E396:E402)</f>
        <v>907</v>
      </c>
      <c r="F403" s="17" t="n">
        <f aca="false">SUM(F396:F402)</f>
        <v>57.1</v>
      </c>
      <c r="G403" s="17" t="n">
        <f aca="false">SUM(G396:G402)</f>
        <v>28.4</v>
      </c>
      <c r="H403" s="17" t="n">
        <f aca="false">SUM(H396:H402)</f>
        <v>101.4</v>
      </c>
    </row>
    <row r="405" customFormat="false" ht="15" hidden="false" customHeight="false" outlineLevel="0" collapsed="false">
      <c r="A405" s="8" t="s">
        <v>619</v>
      </c>
      <c r="B405" s="5" t="s">
        <v>445</v>
      </c>
      <c r="C405" s="5" t="s">
        <v>485</v>
      </c>
      <c r="D405" s="8" t="n">
        <v>145</v>
      </c>
      <c r="E405" s="9" t="n">
        <v>239</v>
      </c>
      <c r="F405" s="10" t="n">
        <v>45</v>
      </c>
      <c r="G405" s="10" t="n">
        <v>5.2</v>
      </c>
      <c r="H405" s="10" t="n">
        <v>0</v>
      </c>
    </row>
    <row r="406" customFormat="false" ht="15" hidden="false" customHeight="false" outlineLevel="0" collapsed="false">
      <c r="A406" s="8"/>
      <c r="B406" s="5"/>
      <c r="C406" s="5" t="s">
        <v>507</v>
      </c>
      <c r="D406" s="8" t="n">
        <v>440</v>
      </c>
      <c r="E406" s="9" t="n">
        <v>572</v>
      </c>
      <c r="F406" s="10" t="n">
        <v>11.9</v>
      </c>
      <c r="G406" s="10" t="n">
        <v>1.3</v>
      </c>
      <c r="H406" s="10" t="n">
        <v>123.2</v>
      </c>
    </row>
    <row r="407" customFormat="false" ht="15" hidden="false" customHeight="false" outlineLevel="0" collapsed="false">
      <c r="A407" s="8"/>
      <c r="B407" s="5"/>
      <c r="C407" s="5" t="s">
        <v>508</v>
      </c>
      <c r="D407" s="8" t="n">
        <v>150</v>
      </c>
      <c r="E407" s="9" t="n">
        <v>48</v>
      </c>
      <c r="F407" s="10" t="n">
        <v>2.4</v>
      </c>
      <c r="G407" s="10" t="n">
        <v>0.5</v>
      </c>
      <c r="H407" s="10" t="n">
        <v>10.5</v>
      </c>
    </row>
    <row r="408" customFormat="false" ht="15" hidden="false" customHeight="false" outlineLevel="0" collapsed="false">
      <c r="A408" s="8"/>
      <c r="B408" s="5"/>
      <c r="C408" s="5" t="s">
        <v>510</v>
      </c>
      <c r="D408" s="8" t="n">
        <v>25</v>
      </c>
      <c r="E408" s="9" t="n">
        <v>38</v>
      </c>
      <c r="F408" s="10" t="n">
        <v>0.8</v>
      </c>
      <c r="G408" s="10" t="n">
        <v>2</v>
      </c>
      <c r="H408" s="10" t="n">
        <v>3.8</v>
      </c>
    </row>
    <row r="409" customFormat="false" ht="15" hidden="false" customHeight="false" outlineLevel="0" collapsed="false">
      <c r="A409" s="8"/>
      <c r="B409" s="5"/>
      <c r="C409" s="5" t="s">
        <v>509</v>
      </c>
      <c r="D409" s="8" t="n">
        <v>45</v>
      </c>
      <c r="E409" s="9" t="n">
        <v>89</v>
      </c>
      <c r="F409" s="10" t="n">
        <v>0.9</v>
      </c>
      <c r="G409" s="10" t="n">
        <v>9.4</v>
      </c>
      <c r="H409" s="10" t="n">
        <v>1.3</v>
      </c>
    </row>
    <row r="410" customFormat="false" ht="15" hidden="false" customHeight="false" outlineLevel="0" collapsed="false">
      <c r="A410" s="8"/>
      <c r="B410" s="5"/>
      <c r="C410" s="5" t="s">
        <v>576</v>
      </c>
      <c r="D410" s="8" t="n">
        <v>80</v>
      </c>
      <c r="E410" s="9" t="n">
        <v>67</v>
      </c>
      <c r="F410" s="10" t="n">
        <v>4.3</v>
      </c>
      <c r="G410" s="10" t="n">
        <v>0.2</v>
      </c>
      <c r="H410" s="10" t="n">
        <v>12.5</v>
      </c>
    </row>
    <row r="411" customFormat="false" ht="15" hidden="false" customHeight="false" outlineLevel="0" collapsed="false">
      <c r="A411" s="8"/>
      <c r="B411" s="5"/>
      <c r="C411" s="5" t="s">
        <v>492</v>
      </c>
      <c r="D411" s="8" t="n">
        <v>100</v>
      </c>
      <c r="E411" s="9" t="n">
        <v>35</v>
      </c>
      <c r="F411" s="10" t="n">
        <v>0.8</v>
      </c>
      <c r="G411" s="10" t="n">
        <v>0.2</v>
      </c>
      <c r="H411" s="10" t="n">
        <v>8.2</v>
      </c>
    </row>
    <row r="412" customFormat="false" ht="15" hidden="false" customHeight="false" outlineLevel="0" collapsed="false">
      <c r="A412" s="3"/>
      <c r="B412" s="3"/>
      <c r="C412" s="15" t="s">
        <v>493</v>
      </c>
      <c r="D412" s="3"/>
      <c r="E412" s="16" t="n">
        <f aca="false">SUM(E405:E411)</f>
        <v>1088</v>
      </c>
      <c r="F412" s="17" t="n">
        <f aca="false">SUM(F405:F411)</f>
        <v>66.1</v>
      </c>
      <c r="G412" s="17" t="n">
        <f aca="false">SUM(G405:G411)</f>
        <v>18.8</v>
      </c>
      <c r="H412" s="17" t="n">
        <f aca="false">SUM(H405:H411)</f>
        <v>159.5</v>
      </c>
    </row>
    <row r="414" customFormat="false" ht="15" hidden="false" customHeight="false" outlineLevel="0" collapsed="false">
      <c r="A414" s="8" t="s">
        <v>620</v>
      </c>
      <c r="B414" s="5" t="s">
        <v>448</v>
      </c>
      <c r="C414" s="5" t="s">
        <v>563</v>
      </c>
      <c r="D414" s="8" t="n">
        <v>135</v>
      </c>
      <c r="E414" s="9" t="n">
        <v>310</v>
      </c>
      <c r="F414" s="10" t="n">
        <v>18.9</v>
      </c>
      <c r="G414" s="10" t="n">
        <v>14.8</v>
      </c>
      <c r="H414" s="10" t="n">
        <v>25.6</v>
      </c>
    </row>
    <row r="415" customFormat="false" ht="15" hidden="false" customHeight="false" outlineLevel="0" collapsed="false">
      <c r="A415" s="8"/>
      <c r="B415" s="5"/>
      <c r="C415" s="5" t="s">
        <v>528</v>
      </c>
      <c r="D415" s="8" t="n">
        <v>160</v>
      </c>
      <c r="E415" s="9" t="n">
        <v>488</v>
      </c>
      <c r="F415" s="10" t="n">
        <v>13.6</v>
      </c>
      <c r="G415" s="10" t="n">
        <v>12</v>
      </c>
      <c r="H415" s="10" t="n">
        <v>78.4</v>
      </c>
    </row>
    <row r="416" customFormat="false" ht="15" hidden="false" customHeight="false" outlineLevel="0" collapsed="false">
      <c r="A416" s="8"/>
      <c r="B416" s="5"/>
      <c r="C416" s="5" t="s">
        <v>536</v>
      </c>
      <c r="D416" s="8" t="n">
        <v>60</v>
      </c>
      <c r="E416" s="9" t="n">
        <v>9</v>
      </c>
      <c r="F416" s="10" t="n">
        <v>0.6</v>
      </c>
      <c r="G416" s="10" t="n">
        <v>0.1</v>
      </c>
      <c r="H416" s="10" t="n">
        <v>1.2</v>
      </c>
    </row>
    <row r="417" customFormat="false" ht="15" hidden="false" customHeight="false" outlineLevel="0" collapsed="false">
      <c r="A417" s="8"/>
      <c r="B417" s="5"/>
      <c r="C417" s="5" t="s">
        <v>537</v>
      </c>
      <c r="D417" s="8" t="n">
        <v>80</v>
      </c>
      <c r="E417" s="9" t="n">
        <v>14</v>
      </c>
      <c r="F417" s="10" t="n">
        <v>0.7</v>
      </c>
      <c r="G417" s="10" t="n">
        <v>0.2</v>
      </c>
      <c r="H417" s="10" t="n">
        <v>3.1</v>
      </c>
    </row>
    <row r="418" customFormat="false" ht="15" hidden="false" customHeight="false" outlineLevel="0" collapsed="false">
      <c r="A418" s="8"/>
      <c r="B418" s="5"/>
      <c r="C418" s="5" t="s">
        <v>549</v>
      </c>
      <c r="D418" s="8" t="n">
        <v>50</v>
      </c>
      <c r="E418" s="9" t="n">
        <v>48</v>
      </c>
      <c r="F418" s="10" t="n">
        <v>1.5</v>
      </c>
      <c r="G418" s="10" t="n">
        <v>3</v>
      </c>
      <c r="H418" s="10" t="n">
        <v>3</v>
      </c>
    </row>
    <row r="419" customFormat="false" ht="15" hidden="false" customHeight="false" outlineLevel="0" collapsed="false">
      <c r="A419" s="8"/>
      <c r="B419" s="5"/>
      <c r="C419" s="5" t="s">
        <v>554</v>
      </c>
      <c r="D419" s="8" t="n">
        <v>70</v>
      </c>
      <c r="E419" s="9" t="n">
        <v>60</v>
      </c>
      <c r="F419" s="10" t="n">
        <v>2.2</v>
      </c>
      <c r="G419" s="10" t="n">
        <v>0.8</v>
      </c>
      <c r="H419" s="10" t="n">
        <v>13.3</v>
      </c>
    </row>
    <row r="420" customFormat="false" ht="15" hidden="false" customHeight="false" outlineLevel="0" collapsed="false">
      <c r="A420" s="8"/>
      <c r="B420" s="5"/>
      <c r="C420" s="5" t="s">
        <v>492</v>
      </c>
      <c r="D420" s="8" t="n">
        <v>100</v>
      </c>
      <c r="E420" s="9" t="n">
        <v>35</v>
      </c>
      <c r="F420" s="10" t="n">
        <v>0.8</v>
      </c>
      <c r="G420" s="10" t="n">
        <v>0.2</v>
      </c>
      <c r="H420" s="10" t="n">
        <v>8.2</v>
      </c>
    </row>
    <row r="421" customFormat="false" ht="15" hidden="false" customHeight="false" outlineLevel="0" collapsed="false">
      <c r="A421" s="3"/>
      <c r="B421" s="3"/>
      <c r="C421" s="15" t="s">
        <v>493</v>
      </c>
      <c r="D421" s="3"/>
      <c r="E421" s="16" t="n">
        <f aca="false">SUM(E414:E420)</f>
        <v>964</v>
      </c>
      <c r="F421" s="17" t="n">
        <f aca="false">SUM(F414:F420)</f>
        <v>38.3</v>
      </c>
      <c r="G421" s="17" t="n">
        <f aca="false">SUM(G414:G420)</f>
        <v>31.1</v>
      </c>
      <c r="H421" s="17" t="n">
        <f aca="false">SUM(H414:H420)</f>
        <v>132.8</v>
      </c>
    </row>
    <row r="423" customFormat="false" ht="15" hidden="false" customHeight="false" outlineLevel="0" collapsed="false">
      <c r="A423" s="8" t="s">
        <v>621</v>
      </c>
      <c r="B423" s="5" t="s">
        <v>451</v>
      </c>
      <c r="C423" s="5" t="s">
        <v>622</v>
      </c>
      <c r="D423" s="8" t="n">
        <v>145</v>
      </c>
      <c r="E423" s="9" t="n">
        <v>268</v>
      </c>
      <c r="F423" s="10" t="n">
        <v>36.2</v>
      </c>
      <c r="G423" s="10" t="n">
        <v>13.1</v>
      </c>
      <c r="H423" s="10" t="n">
        <v>0</v>
      </c>
    </row>
    <row r="424" customFormat="false" ht="15" hidden="false" customHeight="false" outlineLevel="0" collapsed="false">
      <c r="A424" s="8"/>
      <c r="B424" s="5"/>
      <c r="C424" s="5" t="s">
        <v>495</v>
      </c>
      <c r="D424" s="8" t="n">
        <v>420</v>
      </c>
      <c r="E424" s="9" t="n">
        <v>664</v>
      </c>
      <c r="F424" s="10" t="n">
        <v>24.4</v>
      </c>
      <c r="G424" s="10" t="n">
        <v>3.8</v>
      </c>
      <c r="H424" s="10" t="n">
        <v>129.8</v>
      </c>
    </row>
    <row r="425" customFormat="false" ht="15" hidden="false" customHeight="false" outlineLevel="0" collapsed="false">
      <c r="A425" s="8"/>
      <c r="B425" s="5"/>
      <c r="C425" s="5" t="s">
        <v>498</v>
      </c>
      <c r="D425" s="8" t="n">
        <v>160</v>
      </c>
      <c r="E425" s="9" t="n">
        <v>131</v>
      </c>
      <c r="F425" s="10" t="n">
        <v>6.9</v>
      </c>
      <c r="G425" s="10" t="n">
        <v>0.8</v>
      </c>
      <c r="H425" s="10" t="n">
        <v>30.2</v>
      </c>
    </row>
    <row r="426" customFormat="false" ht="15" hidden="false" customHeight="false" outlineLevel="0" collapsed="false">
      <c r="A426" s="8"/>
      <c r="B426" s="5"/>
      <c r="C426" s="5" t="s">
        <v>499</v>
      </c>
      <c r="D426" s="8" t="n">
        <v>50</v>
      </c>
      <c r="E426" s="9" t="n">
        <v>28</v>
      </c>
      <c r="F426" s="10" t="n">
        <v>0.6</v>
      </c>
      <c r="G426" s="10" t="n">
        <v>1.2</v>
      </c>
      <c r="H426" s="10" t="n">
        <v>3.8</v>
      </c>
    </row>
    <row r="427" customFormat="false" ht="15" hidden="false" customHeight="false" outlineLevel="0" collapsed="false">
      <c r="A427" s="8"/>
      <c r="B427" s="5"/>
      <c r="C427" s="5" t="s">
        <v>500</v>
      </c>
      <c r="D427" s="8" t="n">
        <v>20</v>
      </c>
      <c r="E427" s="9" t="n">
        <v>78</v>
      </c>
      <c r="F427" s="10" t="n">
        <v>7.2</v>
      </c>
      <c r="G427" s="10" t="n">
        <v>5.2</v>
      </c>
      <c r="H427" s="10" t="n">
        <v>0.6</v>
      </c>
    </row>
    <row r="428" customFormat="false" ht="15" hidden="false" customHeight="false" outlineLevel="0" collapsed="false">
      <c r="A428" s="8"/>
      <c r="B428" s="5"/>
      <c r="C428" s="5" t="s">
        <v>489</v>
      </c>
      <c r="D428" s="8" t="n">
        <v>10</v>
      </c>
      <c r="E428" s="9" t="n">
        <v>88</v>
      </c>
      <c r="F428" s="10" t="n">
        <v>0</v>
      </c>
      <c r="G428" s="10" t="n">
        <v>10</v>
      </c>
      <c r="H428" s="10" t="n">
        <v>0</v>
      </c>
    </row>
    <row r="429" customFormat="false" ht="15" hidden="false" customHeight="false" outlineLevel="0" collapsed="false">
      <c r="A429" s="8"/>
      <c r="B429" s="5"/>
      <c r="C429" s="5" t="s">
        <v>492</v>
      </c>
      <c r="D429" s="8" t="n">
        <v>100</v>
      </c>
      <c r="E429" s="9" t="n">
        <v>35</v>
      </c>
      <c r="F429" s="10" t="n">
        <v>0.8</v>
      </c>
      <c r="G429" s="10" t="n">
        <v>0.2</v>
      </c>
      <c r="H429" s="10" t="n">
        <v>8.2</v>
      </c>
    </row>
    <row r="430" customFormat="false" ht="15" hidden="false" customHeight="false" outlineLevel="0" collapsed="false">
      <c r="A430" s="3"/>
      <c r="B430" s="3"/>
      <c r="C430" s="15" t="s">
        <v>493</v>
      </c>
      <c r="D430" s="3"/>
      <c r="E430" s="16" t="n">
        <f aca="false">SUM(E423:E429)</f>
        <v>1292</v>
      </c>
      <c r="F430" s="17" t="n">
        <f aca="false">SUM(F423:F429)</f>
        <v>76.1</v>
      </c>
      <c r="G430" s="17" t="n">
        <f aca="false">SUM(G423:G429)</f>
        <v>34.3</v>
      </c>
      <c r="H430" s="17" t="n">
        <f aca="false">SUM(H423:H429)</f>
        <v>172.6</v>
      </c>
    </row>
    <row r="432" customFormat="false" ht="15" hidden="false" customHeight="false" outlineLevel="0" collapsed="false">
      <c r="A432" s="8" t="s">
        <v>623</v>
      </c>
      <c r="B432" s="5" t="s">
        <v>454</v>
      </c>
      <c r="C432" s="5" t="s">
        <v>496</v>
      </c>
      <c r="D432" s="8" t="n">
        <v>130</v>
      </c>
      <c r="E432" s="9" t="n">
        <v>234</v>
      </c>
      <c r="F432" s="10" t="n">
        <v>33.8</v>
      </c>
      <c r="G432" s="10" t="n">
        <v>10.4</v>
      </c>
      <c r="H432" s="10" t="n">
        <v>0</v>
      </c>
    </row>
    <row r="433" customFormat="false" ht="15" hidden="false" customHeight="false" outlineLevel="0" collapsed="false">
      <c r="A433" s="8"/>
      <c r="B433" s="5"/>
      <c r="C433" s="5" t="s">
        <v>564</v>
      </c>
      <c r="D433" s="8" t="n">
        <v>480</v>
      </c>
      <c r="E433" s="9" t="n">
        <v>432</v>
      </c>
      <c r="F433" s="10" t="n">
        <v>9.6</v>
      </c>
      <c r="G433" s="10" t="n">
        <v>0.5</v>
      </c>
      <c r="H433" s="10" t="n">
        <v>99.4</v>
      </c>
    </row>
    <row r="434" customFormat="false" ht="15" hidden="false" customHeight="false" outlineLevel="0" collapsed="false">
      <c r="A434" s="8"/>
      <c r="B434" s="5"/>
      <c r="C434" s="5" t="s">
        <v>536</v>
      </c>
      <c r="D434" s="8" t="n">
        <v>60</v>
      </c>
      <c r="E434" s="9" t="n">
        <v>9</v>
      </c>
      <c r="F434" s="10" t="n">
        <v>0.6</v>
      </c>
      <c r="G434" s="10" t="n">
        <v>0.1</v>
      </c>
      <c r="H434" s="10" t="n">
        <v>1.2</v>
      </c>
    </row>
    <row r="435" customFormat="false" ht="15" hidden="false" customHeight="false" outlineLevel="0" collapsed="false">
      <c r="A435" s="8"/>
      <c r="B435" s="5"/>
      <c r="C435" s="5" t="s">
        <v>537</v>
      </c>
      <c r="D435" s="8" t="n">
        <v>90</v>
      </c>
      <c r="E435" s="9" t="n">
        <v>16</v>
      </c>
      <c r="F435" s="10" t="n">
        <v>0.8</v>
      </c>
      <c r="G435" s="10" t="n">
        <v>0.2</v>
      </c>
      <c r="H435" s="10" t="n">
        <v>3.5</v>
      </c>
    </row>
    <row r="436" customFormat="false" ht="15" hidden="false" customHeight="false" outlineLevel="0" collapsed="false">
      <c r="A436" s="8"/>
      <c r="B436" s="5"/>
      <c r="C436" s="5" t="s">
        <v>530</v>
      </c>
      <c r="D436" s="8" t="n">
        <v>60</v>
      </c>
      <c r="E436" s="9" t="n">
        <v>99</v>
      </c>
      <c r="F436" s="10" t="n">
        <v>1.2</v>
      </c>
      <c r="G436" s="10" t="n">
        <v>9</v>
      </c>
      <c r="H436" s="10" t="n">
        <v>4.8</v>
      </c>
    </row>
    <row r="437" customFormat="false" ht="15" hidden="false" customHeight="false" outlineLevel="0" collapsed="false">
      <c r="A437" s="8"/>
      <c r="B437" s="5"/>
      <c r="C437" s="5" t="s">
        <v>554</v>
      </c>
      <c r="D437" s="8" t="n">
        <v>60</v>
      </c>
      <c r="E437" s="9" t="n">
        <v>52</v>
      </c>
      <c r="F437" s="10" t="n">
        <v>1.9</v>
      </c>
      <c r="G437" s="10" t="n">
        <v>0.7</v>
      </c>
      <c r="H437" s="10" t="n">
        <v>11.4</v>
      </c>
    </row>
    <row r="438" customFormat="false" ht="15" hidden="false" customHeight="false" outlineLevel="0" collapsed="false">
      <c r="A438" s="3"/>
      <c r="B438" s="3"/>
      <c r="C438" s="15" t="s">
        <v>493</v>
      </c>
      <c r="D438" s="3"/>
      <c r="E438" s="16" t="n">
        <f aca="false">SUM(E432:E437)</f>
        <v>842</v>
      </c>
      <c r="F438" s="17" t="n">
        <f aca="false">SUM(F432:F437)</f>
        <v>47.9</v>
      </c>
      <c r="G438" s="17" t="n">
        <f aca="false">SUM(G432:G437)</f>
        <v>20.9</v>
      </c>
      <c r="H438" s="17" t="n">
        <f aca="false">SUM(H432:H437)</f>
        <v>120.3</v>
      </c>
    </row>
    <row r="440" customFormat="false" ht="15" hidden="false" customHeight="false" outlineLevel="0" collapsed="false">
      <c r="A440" s="8" t="s">
        <v>624</v>
      </c>
      <c r="B440" s="5" t="s">
        <v>457</v>
      </c>
      <c r="C440" s="5" t="s">
        <v>566</v>
      </c>
      <c r="D440" s="8" t="n">
        <v>150</v>
      </c>
      <c r="E440" s="9" t="n">
        <v>158</v>
      </c>
      <c r="F440" s="10" t="n">
        <v>34.5</v>
      </c>
      <c r="G440" s="10" t="n">
        <v>1.4</v>
      </c>
      <c r="H440" s="10" t="n">
        <v>0</v>
      </c>
    </row>
    <row r="441" customFormat="false" ht="15" hidden="false" customHeight="false" outlineLevel="0" collapsed="false">
      <c r="A441" s="8"/>
      <c r="B441" s="5"/>
      <c r="C441" s="5" t="s">
        <v>521</v>
      </c>
      <c r="D441" s="8" t="n">
        <v>440</v>
      </c>
      <c r="E441" s="9" t="n">
        <v>493</v>
      </c>
      <c r="F441" s="10" t="n">
        <v>16.7</v>
      </c>
      <c r="G441" s="10" t="n">
        <v>0.9</v>
      </c>
      <c r="H441" s="10" t="n">
        <v>102.1</v>
      </c>
    </row>
    <row r="442" customFormat="false" ht="15" hidden="false" customHeight="false" outlineLevel="0" collapsed="false">
      <c r="A442" s="8"/>
      <c r="B442" s="5"/>
      <c r="C442" s="5" t="s">
        <v>513</v>
      </c>
      <c r="D442" s="8" t="n">
        <v>180</v>
      </c>
      <c r="E442" s="9" t="n">
        <v>56</v>
      </c>
      <c r="F442" s="10" t="n">
        <v>1.8</v>
      </c>
      <c r="G442" s="10" t="n">
        <v>0.5</v>
      </c>
      <c r="H442" s="10" t="n">
        <v>10.8</v>
      </c>
    </row>
    <row r="443" customFormat="false" ht="15" hidden="false" customHeight="false" outlineLevel="0" collapsed="false">
      <c r="A443" s="8"/>
      <c r="B443" s="5"/>
      <c r="C443" s="5" t="s">
        <v>489</v>
      </c>
      <c r="D443" s="8" t="n">
        <v>15</v>
      </c>
      <c r="E443" s="9" t="n">
        <v>133</v>
      </c>
      <c r="F443" s="10" t="n">
        <v>0</v>
      </c>
      <c r="G443" s="10" t="n">
        <v>15</v>
      </c>
      <c r="H443" s="10" t="n">
        <v>0</v>
      </c>
    </row>
    <row r="444" customFormat="false" ht="15" hidden="false" customHeight="false" outlineLevel="0" collapsed="false">
      <c r="A444" s="8"/>
      <c r="B444" s="5"/>
      <c r="C444" s="5" t="s">
        <v>514</v>
      </c>
      <c r="D444" s="8" t="n">
        <v>10</v>
      </c>
      <c r="E444" s="9" t="n">
        <v>2</v>
      </c>
      <c r="F444" s="10" t="n">
        <v>0</v>
      </c>
      <c r="G444" s="10" t="n">
        <v>0</v>
      </c>
      <c r="H444" s="10" t="n">
        <v>0.7</v>
      </c>
    </row>
    <row r="445" customFormat="false" ht="15" hidden="false" customHeight="false" outlineLevel="0" collapsed="false">
      <c r="A445" s="3"/>
      <c r="B445" s="3"/>
      <c r="C445" s="15" t="s">
        <v>493</v>
      </c>
      <c r="D445" s="3"/>
      <c r="E445" s="16" t="n">
        <f aca="false">SUM(E440:E444)</f>
        <v>842</v>
      </c>
      <c r="F445" s="17" t="n">
        <f aca="false">SUM(F440:F444)</f>
        <v>53</v>
      </c>
      <c r="G445" s="17" t="n">
        <f aca="false">SUM(G440:G444)</f>
        <v>17.8</v>
      </c>
      <c r="H445" s="17" t="n">
        <f aca="false">SUM(H440:H444)</f>
        <v>113.6</v>
      </c>
    </row>
    <row r="447" customFormat="false" ht="15" hidden="false" customHeight="false" outlineLevel="0" collapsed="false">
      <c r="A447" s="8" t="s">
        <v>625</v>
      </c>
      <c r="B447" s="5" t="s">
        <v>460</v>
      </c>
      <c r="C447" s="5" t="s">
        <v>485</v>
      </c>
      <c r="D447" s="8" t="n">
        <v>130</v>
      </c>
      <c r="E447" s="9" t="n">
        <v>214</v>
      </c>
      <c r="F447" s="10" t="n">
        <v>40.3</v>
      </c>
      <c r="G447" s="10" t="n">
        <v>4.7</v>
      </c>
      <c r="H447" s="10" t="n">
        <v>0</v>
      </c>
    </row>
    <row r="448" customFormat="false" ht="15" hidden="false" customHeight="false" outlineLevel="0" collapsed="false">
      <c r="A448" s="8"/>
      <c r="B448" s="5"/>
      <c r="C448" s="5" t="s">
        <v>626</v>
      </c>
      <c r="D448" s="8" t="n">
        <v>20</v>
      </c>
      <c r="E448" s="9" t="n">
        <v>39</v>
      </c>
      <c r="F448" s="10" t="n">
        <v>5.6</v>
      </c>
      <c r="G448" s="10" t="n">
        <v>1.8</v>
      </c>
      <c r="H448" s="10" t="n">
        <v>0.1</v>
      </c>
    </row>
    <row r="449" customFormat="false" ht="15" hidden="false" customHeight="false" outlineLevel="0" collapsed="false">
      <c r="A449" s="8"/>
      <c r="B449" s="5"/>
      <c r="C449" s="5" t="s">
        <v>540</v>
      </c>
      <c r="D449" s="8" t="n">
        <v>35</v>
      </c>
      <c r="E449" s="9" t="n">
        <v>116</v>
      </c>
      <c r="F449" s="10" t="n">
        <v>9.8</v>
      </c>
      <c r="G449" s="10" t="n">
        <v>8.1</v>
      </c>
      <c r="H449" s="10" t="n">
        <v>0.3</v>
      </c>
    </row>
    <row r="450" customFormat="false" ht="15" hidden="false" customHeight="false" outlineLevel="0" collapsed="false">
      <c r="A450" s="8"/>
      <c r="B450" s="5"/>
      <c r="C450" s="5" t="s">
        <v>535</v>
      </c>
      <c r="D450" s="8" t="n">
        <v>400</v>
      </c>
      <c r="E450" s="9" t="n">
        <v>600</v>
      </c>
      <c r="F450" s="10" t="n">
        <v>10.4</v>
      </c>
      <c r="G450" s="10" t="n">
        <v>18</v>
      </c>
      <c r="H450" s="10" t="n">
        <v>98</v>
      </c>
    </row>
    <row r="451" customFormat="false" ht="15" hidden="false" customHeight="false" outlineLevel="0" collapsed="false">
      <c r="A451" s="8"/>
      <c r="B451" s="5"/>
      <c r="C451" s="5" t="s">
        <v>504</v>
      </c>
      <c r="D451" s="8" t="n">
        <v>170</v>
      </c>
      <c r="E451" s="9" t="n">
        <v>60</v>
      </c>
      <c r="F451" s="10" t="n">
        <v>3.2</v>
      </c>
      <c r="G451" s="10" t="n">
        <v>0.5</v>
      </c>
      <c r="H451" s="10" t="n">
        <v>13.4</v>
      </c>
    </row>
    <row r="452" customFormat="false" ht="15" hidden="false" customHeight="false" outlineLevel="0" collapsed="false">
      <c r="A452" s="8"/>
      <c r="B452" s="5"/>
      <c r="C452" s="5" t="s">
        <v>492</v>
      </c>
      <c r="D452" s="8" t="n">
        <v>100</v>
      </c>
      <c r="E452" s="9" t="n">
        <v>35</v>
      </c>
      <c r="F452" s="10" t="n">
        <v>0.8</v>
      </c>
      <c r="G452" s="10" t="n">
        <v>0.2</v>
      </c>
      <c r="H452" s="10" t="n">
        <v>8.2</v>
      </c>
    </row>
    <row r="453" customFormat="false" ht="15" hidden="false" customHeight="false" outlineLevel="0" collapsed="false">
      <c r="A453" s="3"/>
      <c r="B453" s="3"/>
      <c r="C453" s="15" t="s">
        <v>493</v>
      </c>
      <c r="D453" s="3"/>
      <c r="E453" s="16" t="n">
        <f aca="false">SUM(E447:E452)</f>
        <v>1064</v>
      </c>
      <c r="F453" s="17" t="n">
        <f aca="false">SUM(F447:F452)</f>
        <v>70.1</v>
      </c>
      <c r="G453" s="17" t="n">
        <f aca="false">SUM(G447:G452)</f>
        <v>33.3</v>
      </c>
      <c r="H453" s="17" t="n">
        <f aca="false">SUM(H447:H452)</f>
        <v>120</v>
      </c>
    </row>
    <row r="455" customFormat="false" ht="15" hidden="false" customHeight="false" outlineLevel="0" collapsed="false">
      <c r="A455" s="8" t="s">
        <v>627</v>
      </c>
      <c r="B455" s="5" t="s">
        <v>463</v>
      </c>
      <c r="C455" s="5" t="s">
        <v>556</v>
      </c>
      <c r="D455" s="8" t="n">
        <v>160</v>
      </c>
      <c r="E455" s="9" t="n">
        <v>158</v>
      </c>
      <c r="F455" s="10" t="n">
        <v>38.4</v>
      </c>
      <c r="G455" s="10" t="n">
        <v>0.5</v>
      </c>
      <c r="H455" s="10" t="n">
        <v>0.3</v>
      </c>
    </row>
    <row r="456" customFormat="false" ht="15" hidden="false" customHeight="false" outlineLevel="0" collapsed="false">
      <c r="A456" s="8"/>
      <c r="B456" s="5"/>
      <c r="C456" s="5" t="s">
        <v>486</v>
      </c>
      <c r="D456" s="8" t="n">
        <v>430</v>
      </c>
      <c r="E456" s="9" t="n">
        <v>559</v>
      </c>
      <c r="F456" s="10" t="n">
        <v>11.6</v>
      </c>
      <c r="G456" s="10" t="n">
        <v>1.3</v>
      </c>
      <c r="H456" s="10" t="n">
        <v>121.3</v>
      </c>
    </row>
    <row r="457" customFormat="false" ht="15" hidden="false" customHeight="false" outlineLevel="0" collapsed="false">
      <c r="A457" s="8"/>
      <c r="B457" s="5"/>
      <c r="C457" s="5" t="s">
        <v>509</v>
      </c>
      <c r="D457" s="8" t="n">
        <v>60</v>
      </c>
      <c r="E457" s="9" t="n">
        <v>118</v>
      </c>
      <c r="F457" s="10" t="n">
        <v>1.2</v>
      </c>
      <c r="G457" s="10" t="n">
        <v>12.6</v>
      </c>
      <c r="H457" s="10" t="n">
        <v>1.7</v>
      </c>
    </row>
    <row r="458" customFormat="false" ht="15" hidden="false" customHeight="false" outlineLevel="0" collapsed="false">
      <c r="A458" s="8"/>
      <c r="B458" s="5"/>
      <c r="C458" s="5" t="s">
        <v>510</v>
      </c>
      <c r="D458" s="8" t="n">
        <v>25</v>
      </c>
      <c r="E458" s="9" t="n">
        <v>38</v>
      </c>
      <c r="F458" s="10" t="n">
        <v>0.8</v>
      </c>
      <c r="G458" s="10" t="n">
        <v>2</v>
      </c>
      <c r="H458" s="10" t="n">
        <v>3.8</v>
      </c>
    </row>
    <row r="459" customFormat="false" ht="15" hidden="false" customHeight="false" outlineLevel="0" collapsed="false">
      <c r="A459" s="8"/>
      <c r="B459" s="5"/>
      <c r="C459" s="5" t="s">
        <v>526</v>
      </c>
      <c r="D459" s="8" t="n">
        <v>180</v>
      </c>
      <c r="E459" s="9" t="n">
        <v>72</v>
      </c>
      <c r="F459" s="10" t="n">
        <v>3.6</v>
      </c>
      <c r="G459" s="10" t="n">
        <v>0.9</v>
      </c>
      <c r="H459" s="10" t="n">
        <v>11.7</v>
      </c>
    </row>
    <row r="460" customFormat="false" ht="15" hidden="false" customHeight="false" outlineLevel="0" collapsed="false">
      <c r="A460" s="3"/>
      <c r="B460" s="3"/>
      <c r="C460" s="15" t="s">
        <v>493</v>
      </c>
      <c r="D460" s="3"/>
      <c r="E460" s="16" t="n">
        <f aca="false">SUM(E455:E459)</f>
        <v>945</v>
      </c>
      <c r="F460" s="17" t="n">
        <f aca="false">SUM(F455:F459)</f>
        <v>55.6</v>
      </c>
      <c r="G460" s="17" t="n">
        <f aca="false">SUM(G455:G459)</f>
        <v>17.3</v>
      </c>
      <c r="H460" s="17" t="n">
        <f aca="false">SUM(H455:H459)</f>
        <v>138.8</v>
      </c>
    </row>
    <row r="462" customFormat="false" ht="15" hidden="false" customHeight="false" outlineLevel="0" collapsed="false">
      <c r="A462" s="8" t="s">
        <v>628</v>
      </c>
      <c r="B462" s="5" t="s">
        <v>466</v>
      </c>
      <c r="C462" s="5" t="s">
        <v>496</v>
      </c>
      <c r="D462" s="8" t="n">
        <v>120</v>
      </c>
      <c r="E462" s="9" t="n">
        <v>216</v>
      </c>
      <c r="F462" s="10" t="n">
        <v>31.2</v>
      </c>
      <c r="G462" s="10" t="n">
        <v>9.6</v>
      </c>
      <c r="H462" s="10" t="n">
        <v>0</v>
      </c>
    </row>
    <row r="463" customFormat="false" ht="15" hidden="false" customHeight="false" outlineLevel="0" collapsed="false">
      <c r="A463" s="8"/>
      <c r="B463" s="5"/>
      <c r="C463" s="5" t="s">
        <v>570</v>
      </c>
      <c r="D463" s="8" t="n">
        <v>200</v>
      </c>
      <c r="E463" s="9" t="n">
        <v>34</v>
      </c>
      <c r="F463" s="10" t="n">
        <v>2.4</v>
      </c>
      <c r="G463" s="10" t="n">
        <v>0.6</v>
      </c>
      <c r="H463" s="10" t="n">
        <v>6.2</v>
      </c>
    </row>
    <row r="464" customFormat="false" ht="15" hidden="false" customHeight="false" outlineLevel="0" collapsed="false">
      <c r="A464" s="8"/>
      <c r="B464" s="5"/>
      <c r="C464" s="5" t="s">
        <v>609</v>
      </c>
      <c r="D464" s="8" t="n">
        <v>440</v>
      </c>
      <c r="E464" s="9" t="n">
        <v>383</v>
      </c>
      <c r="F464" s="10" t="n">
        <v>8.8</v>
      </c>
      <c r="G464" s="10" t="n">
        <v>0.4</v>
      </c>
      <c r="H464" s="10" t="n">
        <v>88</v>
      </c>
    </row>
    <row r="465" customFormat="false" ht="15" hidden="false" customHeight="false" outlineLevel="0" collapsed="false">
      <c r="A465" s="8"/>
      <c r="B465" s="5"/>
      <c r="C465" s="5" t="s">
        <v>508</v>
      </c>
      <c r="D465" s="8" t="n">
        <v>150</v>
      </c>
      <c r="E465" s="9" t="n">
        <v>48</v>
      </c>
      <c r="F465" s="10" t="n">
        <v>2.4</v>
      </c>
      <c r="G465" s="10" t="n">
        <v>0.5</v>
      </c>
      <c r="H465" s="10" t="n">
        <v>10.5</v>
      </c>
    </row>
    <row r="466" customFormat="false" ht="15" hidden="false" customHeight="false" outlineLevel="0" collapsed="false">
      <c r="A466" s="8"/>
      <c r="B466" s="5"/>
      <c r="C466" s="5" t="s">
        <v>540</v>
      </c>
      <c r="D466" s="8" t="n">
        <v>45</v>
      </c>
      <c r="E466" s="9" t="n">
        <v>148</v>
      </c>
      <c r="F466" s="10" t="n">
        <v>12.6</v>
      </c>
      <c r="G466" s="10" t="n">
        <v>10.3</v>
      </c>
      <c r="H466" s="10" t="n">
        <v>0.5</v>
      </c>
    </row>
    <row r="467" customFormat="false" ht="15" hidden="false" customHeight="false" outlineLevel="0" collapsed="false">
      <c r="A467" s="8"/>
      <c r="B467" s="5"/>
      <c r="C467" s="5" t="s">
        <v>541</v>
      </c>
      <c r="D467" s="8" t="n">
        <v>100</v>
      </c>
      <c r="E467" s="9" t="n">
        <v>46</v>
      </c>
      <c r="F467" s="10" t="n">
        <v>3.4</v>
      </c>
      <c r="G467" s="10" t="n">
        <v>1.5</v>
      </c>
      <c r="H467" s="10" t="n">
        <v>4.7</v>
      </c>
    </row>
    <row r="468" customFormat="false" ht="15" hidden="false" customHeight="false" outlineLevel="0" collapsed="false">
      <c r="A468" s="8"/>
      <c r="B468" s="5"/>
      <c r="C468" s="5" t="s">
        <v>489</v>
      </c>
      <c r="D468" s="8" t="n">
        <v>10</v>
      </c>
      <c r="E468" s="9" t="n">
        <v>88</v>
      </c>
      <c r="F468" s="10" t="n">
        <v>0</v>
      </c>
      <c r="G468" s="10" t="n">
        <v>10</v>
      </c>
      <c r="H468" s="10" t="n">
        <v>0</v>
      </c>
    </row>
    <row r="469" customFormat="false" ht="15" hidden="false" customHeight="false" outlineLevel="0" collapsed="false">
      <c r="A469" s="8"/>
      <c r="B469" s="5"/>
      <c r="C469" s="5" t="s">
        <v>492</v>
      </c>
      <c r="D469" s="8" t="n">
        <v>100</v>
      </c>
      <c r="E469" s="9" t="n">
        <v>35</v>
      </c>
      <c r="F469" s="10" t="n">
        <v>0.8</v>
      </c>
      <c r="G469" s="10" t="n">
        <v>0.2</v>
      </c>
      <c r="H469" s="10" t="n">
        <v>8.2</v>
      </c>
    </row>
    <row r="470" customFormat="false" ht="15" hidden="false" customHeight="false" outlineLevel="0" collapsed="false">
      <c r="A470" s="3"/>
      <c r="B470" s="3"/>
      <c r="C470" s="15" t="s">
        <v>493</v>
      </c>
      <c r="D470" s="3"/>
      <c r="E470" s="16" t="n">
        <f aca="false">SUM(E462:E469)</f>
        <v>998</v>
      </c>
      <c r="F470" s="17" t="n">
        <f aca="false">SUM(F462:F469)</f>
        <v>61.6</v>
      </c>
      <c r="G470" s="17" t="n">
        <f aca="false">SUM(G462:G469)</f>
        <v>33.1</v>
      </c>
      <c r="H470" s="17" t="n">
        <f aca="false">SUM(H462:H469)</f>
        <v>118.1</v>
      </c>
    </row>
    <row r="472" customFormat="false" ht="15" hidden="false" customHeight="false" outlineLevel="0" collapsed="false">
      <c r="A472" s="8" t="s">
        <v>629</v>
      </c>
      <c r="B472" s="5" t="s">
        <v>469</v>
      </c>
      <c r="C472" s="5" t="s">
        <v>485</v>
      </c>
      <c r="D472" s="8" t="n">
        <v>145</v>
      </c>
      <c r="E472" s="9" t="n">
        <v>239</v>
      </c>
      <c r="F472" s="10" t="n">
        <v>45</v>
      </c>
      <c r="G472" s="10" t="n">
        <v>5.2</v>
      </c>
      <c r="H472" s="10" t="n">
        <v>0</v>
      </c>
    </row>
    <row r="473" customFormat="false" ht="15" hidden="false" customHeight="false" outlineLevel="0" collapsed="false">
      <c r="A473" s="8"/>
      <c r="B473" s="5"/>
      <c r="C473" s="5" t="s">
        <v>525</v>
      </c>
      <c r="D473" s="8" t="n">
        <v>420</v>
      </c>
      <c r="E473" s="9" t="n">
        <v>580</v>
      </c>
      <c r="F473" s="10" t="n">
        <v>18.9</v>
      </c>
      <c r="G473" s="10" t="n">
        <v>8.8</v>
      </c>
      <c r="H473" s="10" t="n">
        <v>105</v>
      </c>
    </row>
    <row r="474" customFormat="false" ht="15" hidden="false" customHeight="false" outlineLevel="0" collapsed="false">
      <c r="A474" s="8"/>
      <c r="B474" s="5"/>
      <c r="C474" s="5" t="s">
        <v>526</v>
      </c>
      <c r="D474" s="8" t="n">
        <v>200</v>
      </c>
      <c r="E474" s="9" t="n">
        <v>80</v>
      </c>
      <c r="F474" s="10" t="n">
        <v>4</v>
      </c>
      <c r="G474" s="10" t="n">
        <v>1</v>
      </c>
      <c r="H474" s="10" t="n">
        <v>13</v>
      </c>
    </row>
    <row r="475" customFormat="false" ht="15" hidden="false" customHeight="false" outlineLevel="0" collapsed="false">
      <c r="A475" s="8"/>
      <c r="B475" s="5"/>
      <c r="C475" s="5" t="s">
        <v>488</v>
      </c>
      <c r="D475" s="8" t="n">
        <v>20</v>
      </c>
      <c r="E475" s="9" t="n">
        <v>61</v>
      </c>
      <c r="F475" s="10" t="n">
        <v>0.1</v>
      </c>
      <c r="G475" s="10" t="n">
        <v>0</v>
      </c>
      <c r="H475" s="10" t="n">
        <v>16.5</v>
      </c>
    </row>
    <row r="476" customFormat="false" ht="15" hidden="false" customHeight="false" outlineLevel="0" collapsed="false">
      <c r="A476" s="8"/>
      <c r="B476" s="5"/>
      <c r="C476" s="5" t="s">
        <v>489</v>
      </c>
      <c r="D476" s="8" t="n">
        <v>10</v>
      </c>
      <c r="E476" s="9" t="n">
        <v>88</v>
      </c>
      <c r="F476" s="10" t="n">
        <v>0</v>
      </c>
      <c r="G476" s="10" t="n">
        <v>10</v>
      </c>
      <c r="H476" s="10" t="n">
        <v>0</v>
      </c>
    </row>
    <row r="477" customFormat="false" ht="15" hidden="false" customHeight="false" outlineLevel="0" collapsed="false">
      <c r="A477" s="8"/>
      <c r="B477" s="5"/>
      <c r="C477" s="5" t="s">
        <v>490</v>
      </c>
      <c r="D477" s="8" t="n">
        <v>6</v>
      </c>
      <c r="E477" s="9" t="n">
        <v>9</v>
      </c>
      <c r="F477" s="10" t="n">
        <v>0.4</v>
      </c>
      <c r="G477" s="10" t="n">
        <v>0</v>
      </c>
      <c r="H477" s="10" t="n">
        <v>2</v>
      </c>
    </row>
    <row r="478" customFormat="false" ht="15" hidden="false" customHeight="false" outlineLevel="0" collapsed="false">
      <c r="A478" s="3"/>
      <c r="B478" s="3"/>
      <c r="C478" s="15" t="s">
        <v>493</v>
      </c>
      <c r="D478" s="3"/>
      <c r="E478" s="16" t="n">
        <f aca="false">SUM(E472:E477)</f>
        <v>1057</v>
      </c>
      <c r="F478" s="17" t="n">
        <f aca="false">SUM(F472:F477)</f>
        <v>68.4</v>
      </c>
      <c r="G478" s="17" t="n">
        <f aca="false">SUM(G472:G477)</f>
        <v>25</v>
      </c>
      <c r="H478" s="17" t="n">
        <f aca="false">SUM(H472:H477)</f>
        <v>136.5</v>
      </c>
    </row>
    <row r="480" customFormat="false" ht="15" hidden="false" customHeight="false" outlineLevel="0" collapsed="false">
      <c r="A480" s="8" t="s">
        <v>630</v>
      </c>
      <c r="B480" s="5" t="s">
        <v>472</v>
      </c>
      <c r="C480" s="5" t="s">
        <v>568</v>
      </c>
      <c r="D480" s="8" t="n">
        <v>120</v>
      </c>
      <c r="E480" s="9" t="n">
        <v>250</v>
      </c>
      <c r="F480" s="10" t="n">
        <v>26.4</v>
      </c>
      <c r="G480" s="10" t="n">
        <v>15.6</v>
      </c>
      <c r="H480" s="10" t="n">
        <v>0</v>
      </c>
    </row>
    <row r="481" customFormat="false" ht="15" hidden="false" customHeight="false" outlineLevel="0" collapsed="false">
      <c r="A481" s="8"/>
      <c r="B481" s="5"/>
      <c r="C481" s="5" t="s">
        <v>512</v>
      </c>
      <c r="D481" s="8" t="n">
        <v>420</v>
      </c>
      <c r="E481" s="9" t="n">
        <v>504</v>
      </c>
      <c r="F481" s="10" t="n">
        <v>18.5</v>
      </c>
      <c r="G481" s="10" t="n">
        <v>8</v>
      </c>
      <c r="H481" s="10" t="n">
        <v>89.5</v>
      </c>
    </row>
    <row r="482" customFormat="false" ht="15" hidden="false" customHeight="false" outlineLevel="0" collapsed="false">
      <c r="A482" s="8"/>
      <c r="B482" s="5"/>
      <c r="C482" s="5" t="s">
        <v>583</v>
      </c>
      <c r="D482" s="8" t="n">
        <v>200</v>
      </c>
      <c r="E482" s="9" t="n">
        <v>44</v>
      </c>
      <c r="F482" s="10" t="n">
        <v>4.8</v>
      </c>
      <c r="G482" s="10" t="n">
        <v>0.4</v>
      </c>
      <c r="H482" s="10" t="n">
        <v>8.2</v>
      </c>
    </row>
    <row r="483" customFormat="false" ht="15" hidden="false" customHeight="false" outlineLevel="0" collapsed="false">
      <c r="A483" s="8"/>
      <c r="B483" s="5"/>
      <c r="C483" s="5" t="s">
        <v>489</v>
      </c>
      <c r="D483" s="8" t="n">
        <v>8</v>
      </c>
      <c r="E483" s="9" t="n">
        <v>71</v>
      </c>
      <c r="F483" s="10" t="n">
        <v>0</v>
      </c>
      <c r="G483" s="10" t="n">
        <v>8</v>
      </c>
      <c r="H483" s="10" t="n">
        <v>0</v>
      </c>
    </row>
    <row r="484" customFormat="false" ht="15" hidden="false" customHeight="false" outlineLevel="0" collapsed="false">
      <c r="A484" s="8"/>
      <c r="B484" s="5"/>
      <c r="C484" s="5" t="s">
        <v>514</v>
      </c>
      <c r="D484" s="8" t="n">
        <v>10</v>
      </c>
      <c r="E484" s="9" t="n">
        <v>2</v>
      </c>
      <c r="F484" s="10" t="n">
        <v>0</v>
      </c>
      <c r="G484" s="10" t="n">
        <v>0</v>
      </c>
      <c r="H484" s="10" t="n">
        <v>0.7</v>
      </c>
    </row>
    <row r="485" customFormat="false" ht="15" hidden="false" customHeight="false" outlineLevel="0" collapsed="false">
      <c r="A485" s="8"/>
      <c r="B485" s="5"/>
      <c r="C485" s="5" t="s">
        <v>492</v>
      </c>
      <c r="D485" s="8" t="n">
        <v>100</v>
      </c>
      <c r="E485" s="9" t="n">
        <v>35</v>
      </c>
      <c r="F485" s="10" t="n">
        <v>0.8</v>
      </c>
      <c r="G485" s="10" t="n">
        <v>0.2</v>
      </c>
      <c r="H485" s="10" t="n">
        <v>8.2</v>
      </c>
    </row>
    <row r="486" customFormat="false" ht="15" hidden="false" customHeight="false" outlineLevel="0" collapsed="false">
      <c r="A486" s="3"/>
      <c r="B486" s="3"/>
      <c r="C486" s="15" t="s">
        <v>493</v>
      </c>
      <c r="D486" s="3"/>
      <c r="E486" s="16" t="n">
        <f aca="false">SUM(E480:E485)</f>
        <v>906</v>
      </c>
      <c r="F486" s="17" t="n">
        <f aca="false">SUM(F480:F485)</f>
        <v>50.5</v>
      </c>
      <c r="G486" s="17" t="n">
        <f aca="false">SUM(G480:G485)</f>
        <v>32.2</v>
      </c>
      <c r="H486" s="17" t="n">
        <f aca="false">SUM(H480:H485)</f>
        <v>106.6</v>
      </c>
    </row>
    <row r="488" customFormat="false" ht="15" hidden="false" customHeight="false" outlineLevel="0" collapsed="false">
      <c r="A488" s="8" t="s">
        <v>631</v>
      </c>
      <c r="B488" s="5" t="s">
        <v>475</v>
      </c>
      <c r="C488" s="5" t="s">
        <v>502</v>
      </c>
      <c r="D488" s="8" t="n">
        <v>130</v>
      </c>
      <c r="E488" s="9" t="n">
        <v>276</v>
      </c>
      <c r="F488" s="10" t="n">
        <v>40.3</v>
      </c>
      <c r="G488" s="10" t="n">
        <v>12.3</v>
      </c>
      <c r="H488" s="10" t="n">
        <v>0</v>
      </c>
    </row>
    <row r="489" customFormat="false" ht="15" hidden="false" customHeight="false" outlineLevel="0" collapsed="false">
      <c r="A489" s="8"/>
      <c r="B489" s="5"/>
      <c r="C489" s="5" t="s">
        <v>553</v>
      </c>
      <c r="D489" s="8" t="n">
        <v>420</v>
      </c>
      <c r="E489" s="9" t="n">
        <v>517</v>
      </c>
      <c r="F489" s="10" t="n">
        <v>9.7</v>
      </c>
      <c r="G489" s="10" t="n">
        <v>1.7</v>
      </c>
      <c r="H489" s="10" t="n">
        <v>118.4</v>
      </c>
    </row>
    <row r="490" customFormat="false" ht="15" hidden="false" customHeight="false" outlineLevel="0" collapsed="false">
      <c r="A490" s="8"/>
      <c r="B490" s="5"/>
      <c r="C490" s="5" t="s">
        <v>536</v>
      </c>
      <c r="D490" s="8" t="n">
        <v>70</v>
      </c>
      <c r="E490" s="9" t="n">
        <v>10</v>
      </c>
      <c r="F490" s="10" t="n">
        <v>0.7</v>
      </c>
      <c r="G490" s="10" t="n">
        <v>0.1</v>
      </c>
      <c r="H490" s="10" t="n">
        <v>1.4</v>
      </c>
    </row>
    <row r="491" customFormat="false" ht="15" hidden="false" customHeight="false" outlineLevel="0" collapsed="false">
      <c r="A491" s="8"/>
      <c r="B491" s="5"/>
      <c r="C491" s="5" t="s">
        <v>537</v>
      </c>
      <c r="D491" s="8" t="n">
        <v>100</v>
      </c>
      <c r="E491" s="9" t="n">
        <v>18</v>
      </c>
      <c r="F491" s="10" t="n">
        <v>0.9</v>
      </c>
      <c r="G491" s="10" t="n">
        <v>0.2</v>
      </c>
      <c r="H491" s="10" t="n">
        <v>3.9</v>
      </c>
    </row>
    <row r="492" customFormat="false" ht="15" hidden="false" customHeight="false" outlineLevel="0" collapsed="false">
      <c r="A492" s="8"/>
      <c r="B492" s="5"/>
      <c r="C492" s="5" t="s">
        <v>542</v>
      </c>
      <c r="D492" s="8" t="n">
        <v>90</v>
      </c>
      <c r="E492" s="9" t="n">
        <v>14</v>
      </c>
      <c r="F492" s="10" t="n">
        <v>0.6</v>
      </c>
      <c r="G492" s="10" t="n">
        <v>0.1</v>
      </c>
      <c r="H492" s="10" t="n">
        <v>3.2</v>
      </c>
    </row>
    <row r="493" customFormat="false" ht="15" hidden="false" customHeight="false" outlineLevel="0" collapsed="false">
      <c r="A493" s="8"/>
      <c r="B493" s="5"/>
      <c r="C493" s="5" t="s">
        <v>489</v>
      </c>
      <c r="D493" s="8" t="n">
        <v>15</v>
      </c>
      <c r="E493" s="9" t="n">
        <v>133</v>
      </c>
      <c r="F493" s="10" t="n">
        <v>0</v>
      </c>
      <c r="G493" s="10" t="n">
        <v>15</v>
      </c>
      <c r="H493" s="10" t="n">
        <v>0</v>
      </c>
    </row>
    <row r="494" customFormat="false" ht="15" hidden="false" customHeight="false" outlineLevel="0" collapsed="false">
      <c r="A494" s="8"/>
      <c r="B494" s="5"/>
      <c r="C494" s="5" t="s">
        <v>574</v>
      </c>
      <c r="D494" s="8" t="n">
        <v>40</v>
      </c>
      <c r="E494" s="9" t="n">
        <v>106</v>
      </c>
      <c r="F494" s="10" t="n">
        <v>5.7</v>
      </c>
      <c r="G494" s="10" t="n">
        <v>8.5</v>
      </c>
      <c r="H494" s="10" t="n">
        <v>1.6</v>
      </c>
    </row>
    <row r="495" customFormat="false" ht="15" hidden="false" customHeight="false" outlineLevel="0" collapsed="false">
      <c r="A495" s="8"/>
      <c r="B495" s="5"/>
      <c r="C495" s="5" t="s">
        <v>492</v>
      </c>
      <c r="D495" s="8" t="n">
        <v>100</v>
      </c>
      <c r="E495" s="9" t="n">
        <v>35</v>
      </c>
      <c r="F495" s="10" t="n">
        <v>0.8</v>
      </c>
      <c r="G495" s="10" t="n">
        <v>0.2</v>
      </c>
      <c r="H495" s="10" t="n">
        <v>8.2</v>
      </c>
    </row>
    <row r="496" customFormat="false" ht="15" hidden="false" customHeight="false" outlineLevel="0" collapsed="false">
      <c r="A496" s="3"/>
      <c r="B496" s="3"/>
      <c r="C496" s="15" t="s">
        <v>493</v>
      </c>
      <c r="D496" s="3"/>
      <c r="E496" s="16" t="n">
        <f aca="false">SUM(E488:E495)</f>
        <v>1109</v>
      </c>
      <c r="F496" s="17" t="n">
        <f aca="false">SUM(F488:F495)</f>
        <v>58.7</v>
      </c>
      <c r="G496" s="17" t="n">
        <f aca="false">SUM(G488:G495)</f>
        <v>38.1</v>
      </c>
      <c r="H496" s="17" t="n">
        <f aca="false">SUM(H488:H495)</f>
        <v>136.7</v>
      </c>
    </row>
    <row r="498" customFormat="false" ht="15" hidden="false" customHeight="false" outlineLevel="0" collapsed="false">
      <c r="A498" s="8" t="s">
        <v>632</v>
      </c>
      <c r="B498" s="5" t="s">
        <v>478</v>
      </c>
      <c r="C498" s="5" t="s">
        <v>485</v>
      </c>
      <c r="D498" s="8" t="n">
        <v>135</v>
      </c>
      <c r="E498" s="9" t="n">
        <v>223</v>
      </c>
      <c r="F498" s="10" t="n">
        <v>41.9</v>
      </c>
      <c r="G498" s="10" t="n">
        <v>4.9</v>
      </c>
      <c r="H498" s="10" t="n">
        <v>0</v>
      </c>
    </row>
    <row r="499" customFormat="false" ht="15" hidden="false" customHeight="false" outlineLevel="0" collapsed="false">
      <c r="A499" s="8"/>
      <c r="B499" s="5"/>
      <c r="C499" s="5" t="s">
        <v>507</v>
      </c>
      <c r="D499" s="8" t="n">
        <v>440</v>
      </c>
      <c r="E499" s="9" t="n">
        <v>572</v>
      </c>
      <c r="F499" s="10" t="n">
        <v>11.9</v>
      </c>
      <c r="G499" s="10" t="n">
        <v>1.3</v>
      </c>
      <c r="H499" s="10" t="n">
        <v>123.2</v>
      </c>
    </row>
    <row r="500" customFormat="false" ht="15" hidden="false" customHeight="false" outlineLevel="0" collapsed="false">
      <c r="A500" s="8"/>
      <c r="B500" s="5"/>
      <c r="C500" s="5" t="s">
        <v>603</v>
      </c>
      <c r="D500" s="8" t="n">
        <v>100</v>
      </c>
      <c r="E500" s="9" t="n">
        <v>73</v>
      </c>
      <c r="F500" s="10" t="n">
        <v>7.5</v>
      </c>
      <c r="G500" s="10" t="n">
        <v>2</v>
      </c>
      <c r="H500" s="10" t="n">
        <v>5</v>
      </c>
    </row>
    <row r="501" customFormat="false" ht="15" hidden="false" customHeight="false" outlineLevel="0" collapsed="false">
      <c r="A501" s="8"/>
      <c r="B501" s="5"/>
      <c r="C501" s="5" t="s">
        <v>592</v>
      </c>
      <c r="D501" s="8" t="n">
        <v>70</v>
      </c>
      <c r="E501" s="9" t="n">
        <v>58</v>
      </c>
      <c r="F501" s="10" t="n">
        <v>1.2</v>
      </c>
      <c r="G501" s="10" t="n">
        <v>0.8</v>
      </c>
      <c r="H501" s="10" t="n">
        <v>13.1</v>
      </c>
    </row>
    <row r="502" customFormat="false" ht="15" hidden="false" customHeight="false" outlineLevel="0" collapsed="false">
      <c r="A502" s="8"/>
      <c r="B502" s="5"/>
      <c r="C502" s="5" t="s">
        <v>499</v>
      </c>
      <c r="D502" s="8" t="n">
        <v>50</v>
      </c>
      <c r="E502" s="9" t="n">
        <v>28</v>
      </c>
      <c r="F502" s="10" t="n">
        <v>0.6</v>
      </c>
      <c r="G502" s="10" t="n">
        <v>1.2</v>
      </c>
      <c r="H502" s="10" t="n">
        <v>3.8</v>
      </c>
    </row>
    <row r="503" customFormat="false" ht="15" hidden="false" customHeight="false" outlineLevel="0" collapsed="false">
      <c r="A503" s="8"/>
      <c r="B503" s="5"/>
      <c r="C503" s="5" t="s">
        <v>491</v>
      </c>
      <c r="D503" s="8" t="n">
        <v>5</v>
      </c>
      <c r="E503" s="9" t="n">
        <v>12</v>
      </c>
      <c r="F503" s="10" t="n">
        <v>0.5</v>
      </c>
      <c r="G503" s="10" t="n">
        <v>0.2</v>
      </c>
      <c r="H503" s="10" t="n">
        <v>2.2</v>
      </c>
    </row>
    <row r="504" customFormat="false" ht="15" hidden="false" customHeight="false" outlineLevel="0" collapsed="false">
      <c r="A504" s="8"/>
      <c r="B504" s="5"/>
      <c r="C504" s="5" t="s">
        <v>489</v>
      </c>
      <c r="D504" s="8" t="n">
        <v>10</v>
      </c>
      <c r="E504" s="9" t="n">
        <v>88</v>
      </c>
      <c r="F504" s="10" t="n">
        <v>0</v>
      </c>
      <c r="G504" s="10" t="n">
        <v>10</v>
      </c>
      <c r="H504" s="10" t="n">
        <v>0</v>
      </c>
    </row>
    <row r="505" customFormat="false" ht="15" hidden="false" customHeight="false" outlineLevel="0" collapsed="false">
      <c r="A505" s="8"/>
      <c r="B505" s="5"/>
      <c r="C505" s="5" t="s">
        <v>492</v>
      </c>
      <c r="D505" s="8" t="n">
        <v>100</v>
      </c>
      <c r="E505" s="9" t="n">
        <v>35</v>
      </c>
      <c r="F505" s="10" t="n">
        <v>0.8</v>
      </c>
      <c r="G505" s="10" t="n">
        <v>0.2</v>
      </c>
      <c r="H505" s="10" t="n">
        <v>8.2</v>
      </c>
    </row>
    <row r="506" customFormat="false" ht="15" hidden="false" customHeight="false" outlineLevel="0" collapsed="false">
      <c r="A506" s="3"/>
      <c r="B506" s="3"/>
      <c r="C506" s="15" t="s">
        <v>493</v>
      </c>
      <c r="D506" s="3"/>
      <c r="E506" s="16" t="n">
        <f aca="false">SUM(E498:E505)</f>
        <v>1089</v>
      </c>
      <c r="F506" s="17" t="n">
        <f aca="false">SUM(F498:F505)</f>
        <v>64.4</v>
      </c>
      <c r="G506" s="17" t="n">
        <f aca="false">SUM(G498:G505)</f>
        <v>20.6</v>
      </c>
      <c r="H506" s="17" t="n">
        <f aca="false">SUM(H498:H505)</f>
        <v>155.5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34"/>
    <col collapsed="false" customWidth="true" hidden="false" outlineLevel="0" max="4" min="4" style="0" width="8"/>
    <col collapsed="false" customWidth="true" hidden="false" outlineLevel="0" max="5" min="5" style="0" width="9"/>
    <col collapsed="false" customWidth="true" hidden="false" outlineLevel="0" max="6" min="6" style="0" width="10"/>
    <col collapsed="false" customWidth="true" hidden="false" outlineLevel="0" max="8" min="7" style="0" width="9"/>
  </cols>
  <sheetData>
    <row r="1" customFormat="false" ht="15" hidden="false" customHeight="false" outlineLevel="0" collapsed="false">
      <c r="A1" s="6" t="s">
        <v>480</v>
      </c>
      <c r="B1" s="6" t="s">
        <v>481</v>
      </c>
      <c r="C1" s="6" t="s">
        <v>482</v>
      </c>
      <c r="D1" s="6" t="s">
        <v>483</v>
      </c>
      <c r="E1" s="6" t="s">
        <v>63</v>
      </c>
      <c r="F1" s="6" t="s">
        <v>64</v>
      </c>
      <c r="G1" s="6" t="s">
        <v>65</v>
      </c>
      <c r="H1" s="6" t="s">
        <v>66</v>
      </c>
    </row>
    <row r="2" customFormat="false" ht="15" hidden="false" customHeight="false" outlineLevel="0" collapsed="false">
      <c r="A2" s="8" t="s">
        <v>633</v>
      </c>
      <c r="B2" s="5" t="s">
        <v>240</v>
      </c>
      <c r="C2" s="5" t="s">
        <v>485</v>
      </c>
      <c r="D2" s="8" t="n">
        <v>110</v>
      </c>
      <c r="E2" s="9" t="n">
        <v>182</v>
      </c>
      <c r="F2" s="10" t="n">
        <v>34.1</v>
      </c>
      <c r="G2" s="10" t="n">
        <v>4</v>
      </c>
      <c r="H2" s="10" t="n">
        <v>0</v>
      </c>
    </row>
    <row r="3" customFormat="false" ht="15" hidden="false" customHeight="false" outlineLevel="0" collapsed="false">
      <c r="A3" s="8"/>
      <c r="B3" s="5"/>
      <c r="C3" s="5" t="s">
        <v>528</v>
      </c>
      <c r="D3" s="8" t="n">
        <v>150</v>
      </c>
      <c r="E3" s="9" t="n">
        <v>458</v>
      </c>
      <c r="F3" s="10" t="n">
        <v>12.8</v>
      </c>
      <c r="G3" s="10" t="n">
        <v>11.2</v>
      </c>
      <c r="H3" s="10" t="n">
        <v>73.5</v>
      </c>
    </row>
    <row r="4" customFormat="false" ht="15" hidden="false" customHeight="false" outlineLevel="0" collapsed="false">
      <c r="A4" s="8"/>
      <c r="B4" s="5"/>
      <c r="C4" s="5" t="s">
        <v>634</v>
      </c>
      <c r="D4" s="8" t="n">
        <v>85</v>
      </c>
      <c r="E4" s="9" t="n">
        <v>48</v>
      </c>
      <c r="F4" s="10" t="n">
        <v>8.5</v>
      </c>
      <c r="G4" s="10" t="n">
        <v>0.2</v>
      </c>
      <c r="H4" s="10" t="n">
        <v>3</v>
      </c>
    </row>
    <row r="5" customFormat="false" ht="15" hidden="false" customHeight="false" outlineLevel="0" collapsed="false">
      <c r="A5" s="8"/>
      <c r="B5" s="5"/>
      <c r="C5" s="5" t="s">
        <v>536</v>
      </c>
      <c r="D5" s="8" t="n">
        <v>50</v>
      </c>
      <c r="E5" s="9" t="n">
        <v>8</v>
      </c>
      <c r="F5" s="10" t="n">
        <v>0.5</v>
      </c>
      <c r="G5" s="10" t="n">
        <v>0.1</v>
      </c>
      <c r="H5" s="10" t="n">
        <v>1</v>
      </c>
    </row>
    <row r="6" customFormat="false" ht="15" hidden="false" customHeight="false" outlineLevel="0" collapsed="false">
      <c r="A6" s="8"/>
      <c r="B6" s="5"/>
      <c r="C6" s="5" t="s">
        <v>537</v>
      </c>
      <c r="D6" s="8" t="n">
        <v>70</v>
      </c>
      <c r="E6" s="9" t="n">
        <v>13</v>
      </c>
      <c r="F6" s="10" t="n">
        <v>0.6</v>
      </c>
      <c r="G6" s="10" t="n">
        <v>0.1</v>
      </c>
      <c r="H6" s="10" t="n">
        <v>2.7</v>
      </c>
    </row>
    <row r="7" customFormat="false" ht="15" hidden="false" customHeight="false" outlineLevel="0" collapsed="false">
      <c r="A7" s="8"/>
      <c r="B7" s="5"/>
      <c r="C7" s="5" t="s">
        <v>513</v>
      </c>
      <c r="D7" s="8" t="n">
        <v>70</v>
      </c>
      <c r="E7" s="9" t="n">
        <v>22</v>
      </c>
      <c r="F7" s="10" t="n">
        <v>0.7</v>
      </c>
      <c r="G7" s="10" t="n">
        <v>0.2</v>
      </c>
      <c r="H7" s="10" t="n">
        <v>4.2</v>
      </c>
    </row>
    <row r="8" customFormat="false" ht="15" hidden="false" customHeight="false" outlineLevel="0" collapsed="false">
      <c r="A8" s="8"/>
      <c r="B8" s="5"/>
      <c r="C8" s="5" t="s">
        <v>492</v>
      </c>
      <c r="D8" s="8" t="n">
        <v>100</v>
      </c>
      <c r="E8" s="9" t="n">
        <v>35</v>
      </c>
      <c r="F8" s="10" t="n">
        <v>0.8</v>
      </c>
      <c r="G8" s="10" t="n">
        <v>0.2</v>
      </c>
      <c r="H8" s="10" t="n">
        <v>8.2</v>
      </c>
    </row>
    <row r="9" customFormat="false" ht="15" hidden="false" customHeight="false" outlineLevel="0" collapsed="false">
      <c r="A9" s="3"/>
      <c r="B9" s="3"/>
      <c r="C9" s="15" t="s">
        <v>493</v>
      </c>
      <c r="D9" s="3"/>
      <c r="E9" s="16" t="n">
        <f aca="false">SUM(E2:E8)</f>
        <v>766</v>
      </c>
      <c r="F9" s="17" t="n">
        <f aca="false">SUM(F2:F8)</f>
        <v>58</v>
      </c>
      <c r="G9" s="17" t="n">
        <f aca="false">SUM(G2:G8)</f>
        <v>16</v>
      </c>
      <c r="H9" s="17" t="n">
        <f aca="false">SUM(H2:H8)</f>
        <v>92.6</v>
      </c>
    </row>
    <row r="11" customFormat="false" ht="15" hidden="false" customHeight="false" outlineLevel="0" collapsed="false">
      <c r="A11" s="8" t="s">
        <v>635</v>
      </c>
      <c r="B11" s="5" t="s">
        <v>246</v>
      </c>
      <c r="C11" s="5" t="s">
        <v>552</v>
      </c>
      <c r="D11" s="8" t="n">
        <v>110</v>
      </c>
      <c r="E11" s="9" t="n">
        <v>128</v>
      </c>
      <c r="F11" s="10" t="n">
        <v>28.6</v>
      </c>
      <c r="G11" s="10" t="n">
        <v>1.1</v>
      </c>
      <c r="H11" s="10" t="n">
        <v>0</v>
      </c>
    </row>
    <row r="12" customFormat="false" ht="15" hidden="false" customHeight="false" outlineLevel="0" collapsed="false">
      <c r="A12" s="8"/>
      <c r="B12" s="5"/>
      <c r="C12" s="5" t="s">
        <v>528</v>
      </c>
      <c r="D12" s="8" t="n">
        <v>150</v>
      </c>
      <c r="E12" s="9" t="n">
        <v>458</v>
      </c>
      <c r="F12" s="10" t="n">
        <v>12.8</v>
      </c>
      <c r="G12" s="10" t="n">
        <v>11.2</v>
      </c>
      <c r="H12" s="10" t="n">
        <v>73.5</v>
      </c>
    </row>
    <row r="13" customFormat="false" ht="15" hidden="false" customHeight="false" outlineLevel="0" collapsed="false">
      <c r="A13" s="8"/>
      <c r="B13" s="5"/>
      <c r="C13" s="5" t="s">
        <v>554</v>
      </c>
      <c r="D13" s="8" t="n">
        <v>80</v>
      </c>
      <c r="E13" s="9" t="n">
        <v>69</v>
      </c>
      <c r="F13" s="10" t="n">
        <v>2.6</v>
      </c>
      <c r="G13" s="10" t="n">
        <v>1</v>
      </c>
      <c r="H13" s="10" t="n">
        <v>15.2</v>
      </c>
    </row>
    <row r="14" customFormat="false" ht="15" hidden="false" customHeight="false" outlineLevel="0" collapsed="false">
      <c r="A14" s="8"/>
      <c r="B14" s="5"/>
      <c r="C14" s="5" t="s">
        <v>549</v>
      </c>
      <c r="D14" s="8" t="n">
        <v>50</v>
      </c>
      <c r="E14" s="9" t="n">
        <v>48</v>
      </c>
      <c r="F14" s="10" t="n">
        <v>1.5</v>
      </c>
      <c r="G14" s="10" t="n">
        <v>3</v>
      </c>
      <c r="H14" s="10" t="n">
        <v>3</v>
      </c>
    </row>
    <row r="15" customFormat="false" ht="15" hidden="false" customHeight="false" outlineLevel="0" collapsed="false">
      <c r="A15" s="8"/>
      <c r="B15" s="5"/>
      <c r="C15" s="5" t="s">
        <v>536</v>
      </c>
      <c r="D15" s="8" t="n">
        <v>50</v>
      </c>
      <c r="E15" s="9" t="n">
        <v>8</v>
      </c>
      <c r="F15" s="10" t="n">
        <v>0.5</v>
      </c>
      <c r="G15" s="10" t="n">
        <v>0.1</v>
      </c>
      <c r="H15" s="10" t="n">
        <v>1</v>
      </c>
    </row>
    <row r="16" customFormat="false" ht="15" hidden="false" customHeight="false" outlineLevel="0" collapsed="false">
      <c r="A16" s="8"/>
      <c r="B16" s="5"/>
      <c r="C16" s="5" t="s">
        <v>492</v>
      </c>
      <c r="D16" s="8" t="n">
        <v>100</v>
      </c>
      <c r="E16" s="9" t="n">
        <v>35</v>
      </c>
      <c r="F16" s="10" t="n">
        <v>0.8</v>
      </c>
      <c r="G16" s="10" t="n">
        <v>0.2</v>
      </c>
      <c r="H16" s="10" t="n">
        <v>8.2</v>
      </c>
    </row>
    <row r="17" customFormat="false" ht="15" hidden="false" customHeight="false" outlineLevel="0" collapsed="false">
      <c r="A17" s="3"/>
      <c r="B17" s="3"/>
      <c r="C17" s="15" t="s">
        <v>493</v>
      </c>
      <c r="D17" s="3"/>
      <c r="E17" s="16" t="n">
        <f aca="false">SUM(E11:E16)</f>
        <v>746</v>
      </c>
      <c r="F17" s="17" t="n">
        <f aca="false">SUM(F11:F16)</f>
        <v>46.8</v>
      </c>
      <c r="G17" s="17" t="n">
        <f aca="false">SUM(G11:G16)</f>
        <v>16.6</v>
      </c>
      <c r="H17" s="17" t="n">
        <f aca="false">SUM(H11:H16)</f>
        <v>100.9</v>
      </c>
    </row>
    <row r="19" customFormat="false" ht="15" hidden="false" customHeight="false" outlineLevel="0" collapsed="false">
      <c r="A19" s="8" t="s">
        <v>636</v>
      </c>
      <c r="B19" s="5" t="s">
        <v>251</v>
      </c>
      <c r="C19" s="5" t="s">
        <v>528</v>
      </c>
      <c r="D19" s="8" t="n">
        <v>150</v>
      </c>
      <c r="E19" s="9" t="n">
        <v>458</v>
      </c>
      <c r="F19" s="10" t="n">
        <v>12.8</v>
      </c>
      <c r="G19" s="10" t="n">
        <v>11.2</v>
      </c>
      <c r="H19" s="10" t="n">
        <v>73.5</v>
      </c>
    </row>
    <row r="20" customFormat="false" ht="15" hidden="false" customHeight="false" outlineLevel="0" collapsed="false">
      <c r="A20" s="8"/>
      <c r="B20" s="5"/>
      <c r="C20" s="5" t="s">
        <v>540</v>
      </c>
      <c r="D20" s="8" t="n">
        <v>50</v>
      </c>
      <c r="E20" s="9" t="n">
        <v>165</v>
      </c>
      <c r="F20" s="10" t="n">
        <v>14</v>
      </c>
      <c r="G20" s="10" t="n">
        <v>11.5</v>
      </c>
      <c r="H20" s="10" t="n">
        <v>0.5</v>
      </c>
    </row>
    <row r="21" customFormat="false" ht="15" hidden="false" customHeight="false" outlineLevel="0" collapsed="false">
      <c r="A21" s="8"/>
      <c r="B21" s="5"/>
      <c r="C21" s="5" t="s">
        <v>485</v>
      </c>
      <c r="D21" s="8" t="n">
        <v>95</v>
      </c>
      <c r="E21" s="9" t="n">
        <v>157</v>
      </c>
      <c r="F21" s="10" t="n">
        <v>29.4</v>
      </c>
      <c r="G21" s="10" t="n">
        <v>3.4</v>
      </c>
      <c r="H21" s="10" t="n">
        <v>0</v>
      </c>
    </row>
    <row r="22" customFormat="false" ht="15" hidden="false" customHeight="false" outlineLevel="0" collapsed="false">
      <c r="A22" s="8"/>
      <c r="B22" s="5"/>
      <c r="C22" s="5" t="s">
        <v>634</v>
      </c>
      <c r="D22" s="8" t="n">
        <v>85</v>
      </c>
      <c r="E22" s="9" t="n">
        <v>48</v>
      </c>
      <c r="F22" s="10" t="n">
        <v>8.5</v>
      </c>
      <c r="G22" s="10" t="n">
        <v>0.2</v>
      </c>
      <c r="H22" s="10" t="n">
        <v>3</v>
      </c>
    </row>
    <row r="23" customFormat="false" ht="15" hidden="false" customHeight="false" outlineLevel="0" collapsed="false">
      <c r="A23" s="8"/>
      <c r="B23" s="5"/>
      <c r="C23" s="5" t="s">
        <v>513</v>
      </c>
      <c r="D23" s="8" t="n">
        <v>80</v>
      </c>
      <c r="E23" s="9" t="n">
        <v>25</v>
      </c>
      <c r="F23" s="10" t="n">
        <v>0.8</v>
      </c>
      <c r="G23" s="10" t="n">
        <v>0.2</v>
      </c>
      <c r="H23" s="10" t="n">
        <v>4.8</v>
      </c>
    </row>
    <row r="24" customFormat="false" ht="15" hidden="false" customHeight="false" outlineLevel="0" collapsed="false">
      <c r="A24" s="8"/>
      <c r="B24" s="5"/>
      <c r="C24" s="5" t="s">
        <v>492</v>
      </c>
      <c r="D24" s="8" t="n">
        <v>100</v>
      </c>
      <c r="E24" s="9" t="n">
        <v>35</v>
      </c>
      <c r="F24" s="10" t="n">
        <v>0.8</v>
      </c>
      <c r="G24" s="10" t="n">
        <v>0.2</v>
      </c>
      <c r="H24" s="10" t="n">
        <v>8.2</v>
      </c>
    </row>
    <row r="25" customFormat="false" ht="15" hidden="false" customHeight="false" outlineLevel="0" collapsed="false">
      <c r="A25" s="3"/>
      <c r="B25" s="3"/>
      <c r="C25" s="15" t="s">
        <v>493</v>
      </c>
      <c r="D25" s="3"/>
      <c r="E25" s="16" t="n">
        <f aca="false">SUM(E19:E24)</f>
        <v>888</v>
      </c>
      <c r="F25" s="17" t="n">
        <f aca="false">SUM(F19:F24)</f>
        <v>66.3</v>
      </c>
      <c r="G25" s="17" t="n">
        <f aca="false">SUM(G19:G24)</f>
        <v>26.7</v>
      </c>
      <c r="H25" s="17" t="n">
        <f aca="false">SUM(H19:H24)</f>
        <v>90</v>
      </c>
    </row>
    <row r="27" customFormat="false" ht="15" hidden="false" customHeight="false" outlineLevel="0" collapsed="false">
      <c r="A27" s="8" t="s">
        <v>637</v>
      </c>
      <c r="B27" s="5" t="s">
        <v>256</v>
      </c>
      <c r="C27" s="5" t="s">
        <v>638</v>
      </c>
      <c r="D27" s="8" t="n">
        <v>250</v>
      </c>
      <c r="E27" s="9" t="n">
        <v>158</v>
      </c>
      <c r="F27" s="10" t="n">
        <v>27.5</v>
      </c>
      <c r="G27" s="10" t="n">
        <v>0.5</v>
      </c>
      <c r="H27" s="10" t="n">
        <v>10</v>
      </c>
    </row>
    <row r="28" customFormat="false" ht="15" hidden="false" customHeight="false" outlineLevel="0" collapsed="false">
      <c r="A28" s="8"/>
      <c r="B28" s="5"/>
      <c r="C28" s="5" t="s">
        <v>639</v>
      </c>
      <c r="D28" s="8" t="n">
        <v>100</v>
      </c>
      <c r="E28" s="9" t="n">
        <v>380</v>
      </c>
      <c r="F28" s="10" t="n">
        <v>10</v>
      </c>
      <c r="G28" s="10" t="n">
        <v>7</v>
      </c>
      <c r="H28" s="10" t="n">
        <v>65</v>
      </c>
    </row>
    <row r="29" customFormat="false" ht="15" hidden="false" customHeight="false" outlineLevel="0" collapsed="false">
      <c r="A29" s="8"/>
      <c r="B29" s="5"/>
      <c r="C29" s="5" t="s">
        <v>640</v>
      </c>
      <c r="D29" s="8" t="n">
        <v>100</v>
      </c>
      <c r="E29" s="9" t="n">
        <v>57</v>
      </c>
      <c r="F29" s="10" t="n">
        <v>0.7</v>
      </c>
      <c r="G29" s="10" t="n">
        <v>0.3</v>
      </c>
      <c r="H29" s="10" t="n">
        <v>14.5</v>
      </c>
    </row>
    <row r="30" customFormat="false" ht="15" hidden="false" customHeight="false" outlineLevel="0" collapsed="false">
      <c r="A30" s="8"/>
      <c r="B30" s="5"/>
      <c r="C30" s="5" t="s">
        <v>641</v>
      </c>
      <c r="D30" s="8" t="n">
        <v>100</v>
      </c>
      <c r="E30" s="9" t="n">
        <v>89</v>
      </c>
      <c r="F30" s="10" t="n">
        <v>1.1</v>
      </c>
      <c r="G30" s="10" t="n">
        <v>0.3</v>
      </c>
      <c r="H30" s="10" t="n">
        <v>22.8</v>
      </c>
    </row>
    <row r="31" customFormat="false" ht="15" hidden="false" customHeight="false" outlineLevel="0" collapsed="false">
      <c r="A31" s="8"/>
      <c r="B31" s="5"/>
      <c r="C31" s="5" t="s">
        <v>488</v>
      </c>
      <c r="D31" s="8" t="n">
        <v>15</v>
      </c>
      <c r="E31" s="9" t="n">
        <v>46</v>
      </c>
      <c r="F31" s="10" t="n">
        <v>0</v>
      </c>
      <c r="G31" s="10" t="n">
        <v>0</v>
      </c>
      <c r="H31" s="10" t="n">
        <v>12.4</v>
      </c>
    </row>
    <row r="32" customFormat="false" ht="15" hidden="false" customHeight="false" outlineLevel="0" collapsed="false">
      <c r="A32" s="8"/>
      <c r="B32" s="5"/>
      <c r="C32" s="5" t="s">
        <v>492</v>
      </c>
      <c r="D32" s="8" t="n">
        <v>100</v>
      </c>
      <c r="E32" s="9" t="n">
        <v>35</v>
      </c>
      <c r="F32" s="10" t="n">
        <v>0.8</v>
      </c>
      <c r="G32" s="10" t="n">
        <v>0.2</v>
      </c>
      <c r="H32" s="10" t="n">
        <v>8.2</v>
      </c>
    </row>
    <row r="33" customFormat="false" ht="15" hidden="false" customHeight="false" outlineLevel="0" collapsed="false">
      <c r="A33" s="3"/>
      <c r="B33" s="3"/>
      <c r="C33" s="15" t="s">
        <v>493</v>
      </c>
      <c r="D33" s="3"/>
      <c r="E33" s="16" t="n">
        <f aca="false">SUM(E27:E32)</f>
        <v>765</v>
      </c>
      <c r="F33" s="17" t="n">
        <f aca="false">SUM(F27:F32)</f>
        <v>40.1</v>
      </c>
      <c r="G33" s="17" t="n">
        <f aca="false">SUM(G27:G32)</f>
        <v>8.3</v>
      </c>
      <c r="H33" s="17" t="n">
        <f aca="false">SUM(H27:H32)</f>
        <v>132.9</v>
      </c>
    </row>
    <row r="35" customFormat="false" ht="15" hidden="false" customHeight="false" outlineLevel="0" collapsed="false">
      <c r="A35" s="8" t="s">
        <v>642</v>
      </c>
      <c r="B35" s="5" t="s">
        <v>261</v>
      </c>
      <c r="C35" s="5" t="s">
        <v>572</v>
      </c>
      <c r="D35" s="8" t="n">
        <v>160</v>
      </c>
      <c r="E35" s="9" t="n">
        <v>229</v>
      </c>
      <c r="F35" s="10" t="n">
        <v>20.2</v>
      </c>
      <c r="G35" s="10" t="n">
        <v>15.2</v>
      </c>
      <c r="H35" s="10" t="n">
        <v>1.1</v>
      </c>
    </row>
    <row r="36" customFormat="false" ht="15" hidden="false" customHeight="false" outlineLevel="0" collapsed="false">
      <c r="A36" s="8"/>
      <c r="B36" s="5"/>
      <c r="C36" s="5" t="s">
        <v>580</v>
      </c>
      <c r="D36" s="8" t="n">
        <v>70</v>
      </c>
      <c r="E36" s="9" t="n">
        <v>36</v>
      </c>
      <c r="F36" s="10" t="n">
        <v>7.6</v>
      </c>
      <c r="G36" s="10" t="n">
        <v>0.1</v>
      </c>
      <c r="H36" s="10" t="n">
        <v>0.5</v>
      </c>
    </row>
    <row r="37" customFormat="false" ht="15" hidden="false" customHeight="false" outlineLevel="0" collapsed="false">
      <c r="A37" s="8"/>
      <c r="B37" s="5"/>
      <c r="C37" s="5" t="s">
        <v>540</v>
      </c>
      <c r="D37" s="8" t="n">
        <v>35</v>
      </c>
      <c r="E37" s="9" t="n">
        <v>116</v>
      </c>
      <c r="F37" s="10" t="n">
        <v>9.8</v>
      </c>
      <c r="G37" s="10" t="n">
        <v>8.1</v>
      </c>
      <c r="H37" s="10" t="n">
        <v>0.3</v>
      </c>
    </row>
    <row r="38" customFormat="false" ht="15" hidden="false" customHeight="false" outlineLevel="0" collapsed="false">
      <c r="A38" s="8"/>
      <c r="B38" s="5"/>
      <c r="C38" s="5" t="s">
        <v>573</v>
      </c>
      <c r="D38" s="8" t="n">
        <v>150</v>
      </c>
      <c r="E38" s="9" t="n">
        <v>370</v>
      </c>
      <c r="F38" s="10" t="n">
        <v>14.2</v>
      </c>
      <c r="G38" s="10" t="n">
        <v>5.2</v>
      </c>
      <c r="H38" s="10" t="n">
        <v>58.5</v>
      </c>
    </row>
    <row r="39" customFormat="false" ht="15" hidden="false" customHeight="false" outlineLevel="0" collapsed="false">
      <c r="A39" s="8"/>
      <c r="B39" s="5"/>
      <c r="C39" s="5" t="s">
        <v>537</v>
      </c>
      <c r="D39" s="8" t="n">
        <v>80</v>
      </c>
      <c r="E39" s="9" t="n">
        <v>14</v>
      </c>
      <c r="F39" s="10" t="n">
        <v>0.7</v>
      </c>
      <c r="G39" s="10" t="n">
        <v>0.2</v>
      </c>
      <c r="H39" s="10" t="n">
        <v>3.1</v>
      </c>
    </row>
    <row r="40" customFormat="false" ht="15" hidden="false" customHeight="false" outlineLevel="0" collapsed="false">
      <c r="A40" s="8"/>
      <c r="B40" s="5"/>
      <c r="C40" s="5" t="s">
        <v>489</v>
      </c>
      <c r="D40" s="8" t="n">
        <v>10</v>
      </c>
      <c r="E40" s="9" t="n">
        <v>88</v>
      </c>
      <c r="F40" s="10" t="n">
        <v>0</v>
      </c>
      <c r="G40" s="10" t="n">
        <v>10</v>
      </c>
      <c r="H40" s="10" t="n">
        <v>0</v>
      </c>
    </row>
    <row r="41" customFormat="false" ht="15" hidden="false" customHeight="false" outlineLevel="0" collapsed="false">
      <c r="A41" s="3"/>
      <c r="B41" s="3"/>
      <c r="C41" s="15" t="s">
        <v>493</v>
      </c>
      <c r="D41" s="3"/>
      <c r="E41" s="16" t="n">
        <f aca="false">SUM(E35:E40)</f>
        <v>853</v>
      </c>
      <c r="F41" s="17" t="n">
        <f aca="false">SUM(F35:F40)</f>
        <v>52.5</v>
      </c>
      <c r="G41" s="17" t="n">
        <f aca="false">SUM(G35:G40)</f>
        <v>38.8</v>
      </c>
      <c r="H41" s="17" t="n">
        <f aca="false">SUM(H35:H40)</f>
        <v>63.5</v>
      </c>
    </row>
    <row r="43" customFormat="false" ht="15" hidden="false" customHeight="false" outlineLevel="0" collapsed="false">
      <c r="A43" s="8" t="s">
        <v>643</v>
      </c>
      <c r="B43" s="5" t="s">
        <v>266</v>
      </c>
      <c r="C43" s="5" t="s">
        <v>573</v>
      </c>
      <c r="D43" s="8" t="n">
        <v>180</v>
      </c>
      <c r="E43" s="9" t="n">
        <v>445</v>
      </c>
      <c r="F43" s="10" t="n">
        <v>17.1</v>
      </c>
      <c r="G43" s="10" t="n">
        <v>6.3</v>
      </c>
      <c r="H43" s="10" t="n">
        <v>70.2</v>
      </c>
    </row>
    <row r="44" customFormat="false" ht="15" hidden="false" customHeight="false" outlineLevel="0" collapsed="false">
      <c r="A44" s="8"/>
      <c r="B44" s="5"/>
      <c r="C44" s="5" t="s">
        <v>572</v>
      </c>
      <c r="D44" s="8" t="n">
        <v>115</v>
      </c>
      <c r="E44" s="9" t="n">
        <v>164</v>
      </c>
      <c r="F44" s="10" t="n">
        <v>14.5</v>
      </c>
      <c r="G44" s="10" t="n">
        <v>10.9</v>
      </c>
      <c r="H44" s="10" t="n">
        <v>0.8</v>
      </c>
    </row>
    <row r="45" customFormat="false" ht="15" hidden="false" customHeight="false" outlineLevel="0" collapsed="false">
      <c r="A45" s="8"/>
      <c r="B45" s="5"/>
      <c r="C45" s="5" t="s">
        <v>561</v>
      </c>
      <c r="D45" s="8" t="n">
        <v>100</v>
      </c>
      <c r="E45" s="9" t="n">
        <v>160</v>
      </c>
      <c r="F45" s="10" t="n">
        <v>2</v>
      </c>
      <c r="G45" s="10" t="n">
        <v>14.7</v>
      </c>
      <c r="H45" s="10" t="n">
        <v>8.5</v>
      </c>
    </row>
    <row r="46" customFormat="false" ht="15" hidden="false" customHeight="false" outlineLevel="0" collapsed="false">
      <c r="A46" s="8"/>
      <c r="B46" s="5"/>
      <c r="C46" s="5" t="s">
        <v>537</v>
      </c>
      <c r="D46" s="8" t="n">
        <v>70</v>
      </c>
      <c r="E46" s="9" t="n">
        <v>13</v>
      </c>
      <c r="F46" s="10" t="n">
        <v>0.6</v>
      </c>
      <c r="G46" s="10" t="n">
        <v>0.1</v>
      </c>
      <c r="H46" s="10" t="n">
        <v>2.7</v>
      </c>
    </row>
    <row r="47" customFormat="false" ht="15" hidden="false" customHeight="false" outlineLevel="0" collapsed="false">
      <c r="A47" s="8"/>
      <c r="B47" s="5"/>
      <c r="C47" s="5" t="s">
        <v>492</v>
      </c>
      <c r="D47" s="8" t="n">
        <v>100</v>
      </c>
      <c r="E47" s="9" t="n">
        <v>35</v>
      </c>
      <c r="F47" s="10" t="n">
        <v>0.8</v>
      </c>
      <c r="G47" s="10" t="n">
        <v>0.2</v>
      </c>
      <c r="H47" s="10" t="n">
        <v>8.2</v>
      </c>
    </row>
    <row r="48" customFormat="false" ht="15" hidden="false" customHeight="false" outlineLevel="0" collapsed="false">
      <c r="A48" s="3"/>
      <c r="B48" s="3"/>
      <c r="C48" s="15" t="s">
        <v>493</v>
      </c>
      <c r="D48" s="3"/>
      <c r="E48" s="16" t="n">
        <f aca="false">SUM(E43:E47)</f>
        <v>817</v>
      </c>
      <c r="F48" s="17" t="n">
        <f aca="false">SUM(F43:F47)</f>
        <v>35</v>
      </c>
      <c r="G48" s="17" t="n">
        <f aca="false">SUM(G43:G47)</f>
        <v>32.2</v>
      </c>
      <c r="H48" s="17" t="n">
        <f aca="false">SUM(H43:H47)</f>
        <v>90.4</v>
      </c>
    </row>
    <row r="50" customFormat="false" ht="15" hidden="false" customHeight="false" outlineLevel="0" collapsed="false">
      <c r="A50" s="8" t="s">
        <v>644</v>
      </c>
      <c r="B50" s="5" t="s">
        <v>271</v>
      </c>
      <c r="C50" s="5" t="s">
        <v>572</v>
      </c>
      <c r="D50" s="8" t="n">
        <v>145</v>
      </c>
      <c r="E50" s="9" t="n">
        <v>207</v>
      </c>
      <c r="F50" s="10" t="n">
        <v>18.3</v>
      </c>
      <c r="G50" s="10" t="n">
        <v>13.8</v>
      </c>
      <c r="H50" s="10" t="n">
        <v>1</v>
      </c>
    </row>
    <row r="51" customFormat="false" ht="15" hidden="false" customHeight="false" outlineLevel="0" collapsed="false">
      <c r="A51" s="8"/>
      <c r="B51" s="5"/>
      <c r="C51" s="5" t="s">
        <v>538</v>
      </c>
      <c r="D51" s="8" t="n">
        <v>25</v>
      </c>
      <c r="E51" s="9" t="n">
        <v>170</v>
      </c>
      <c r="F51" s="10" t="n">
        <v>0.2</v>
      </c>
      <c r="G51" s="10" t="n">
        <v>18.8</v>
      </c>
      <c r="H51" s="10" t="n">
        <v>0.4</v>
      </c>
    </row>
    <row r="52" customFormat="false" ht="15" hidden="false" customHeight="false" outlineLevel="0" collapsed="false">
      <c r="A52" s="8"/>
      <c r="B52" s="5"/>
      <c r="C52" s="5" t="s">
        <v>573</v>
      </c>
      <c r="D52" s="8" t="n">
        <v>180</v>
      </c>
      <c r="E52" s="9" t="n">
        <v>445</v>
      </c>
      <c r="F52" s="10" t="n">
        <v>17.1</v>
      </c>
      <c r="G52" s="10" t="n">
        <v>6.3</v>
      </c>
      <c r="H52" s="10" t="n">
        <v>70.2</v>
      </c>
    </row>
    <row r="53" customFormat="false" ht="15" hidden="false" customHeight="false" outlineLevel="0" collapsed="false">
      <c r="A53" s="8"/>
      <c r="B53" s="5"/>
      <c r="C53" s="5" t="s">
        <v>536</v>
      </c>
      <c r="D53" s="8" t="n">
        <v>50</v>
      </c>
      <c r="E53" s="9" t="n">
        <v>8</v>
      </c>
      <c r="F53" s="10" t="n">
        <v>0.5</v>
      </c>
      <c r="G53" s="10" t="n">
        <v>0.1</v>
      </c>
      <c r="H53" s="10" t="n">
        <v>1</v>
      </c>
    </row>
    <row r="54" customFormat="false" ht="15" hidden="false" customHeight="false" outlineLevel="0" collapsed="false">
      <c r="A54" s="8"/>
      <c r="B54" s="5"/>
      <c r="C54" s="5" t="s">
        <v>542</v>
      </c>
      <c r="D54" s="8" t="n">
        <v>70</v>
      </c>
      <c r="E54" s="9" t="n">
        <v>10</v>
      </c>
      <c r="F54" s="10" t="n">
        <v>0.5</v>
      </c>
      <c r="G54" s="10" t="n">
        <v>0.1</v>
      </c>
      <c r="H54" s="10" t="n">
        <v>2.5</v>
      </c>
    </row>
    <row r="55" customFormat="false" ht="15" hidden="false" customHeight="false" outlineLevel="0" collapsed="false">
      <c r="A55" s="3"/>
      <c r="B55" s="3"/>
      <c r="C55" s="15" t="s">
        <v>493</v>
      </c>
      <c r="D55" s="3"/>
      <c r="E55" s="16" t="n">
        <f aca="false">SUM(E50:E54)</f>
        <v>840</v>
      </c>
      <c r="F55" s="17" t="n">
        <f aca="false">SUM(F50:F54)</f>
        <v>36.6</v>
      </c>
      <c r="G55" s="17" t="n">
        <f aca="false">SUM(G50:G54)</f>
        <v>39.1</v>
      </c>
      <c r="H55" s="17" t="n">
        <f aca="false">SUM(H50:H54)</f>
        <v>75.1</v>
      </c>
    </row>
    <row r="57" customFormat="false" ht="15" hidden="false" customHeight="false" outlineLevel="0" collapsed="false">
      <c r="A57" s="8" t="s">
        <v>645</v>
      </c>
      <c r="B57" s="5" t="s">
        <v>276</v>
      </c>
      <c r="C57" s="5" t="s">
        <v>496</v>
      </c>
      <c r="D57" s="8" t="n">
        <v>110</v>
      </c>
      <c r="E57" s="9" t="n">
        <v>198</v>
      </c>
      <c r="F57" s="10" t="n">
        <v>28.6</v>
      </c>
      <c r="G57" s="10" t="n">
        <v>8.8</v>
      </c>
      <c r="H57" s="10" t="n">
        <v>0</v>
      </c>
    </row>
    <row r="58" customFormat="false" ht="15" hidden="false" customHeight="false" outlineLevel="0" collapsed="false">
      <c r="A58" s="8"/>
      <c r="B58" s="5"/>
      <c r="C58" s="5" t="s">
        <v>564</v>
      </c>
      <c r="D58" s="8" t="n">
        <v>380</v>
      </c>
      <c r="E58" s="9" t="n">
        <v>342</v>
      </c>
      <c r="F58" s="10" t="n">
        <v>7.6</v>
      </c>
      <c r="G58" s="10" t="n">
        <v>0.4</v>
      </c>
      <c r="H58" s="10" t="n">
        <v>78.7</v>
      </c>
    </row>
    <row r="59" customFormat="false" ht="15" hidden="false" customHeight="false" outlineLevel="0" collapsed="false">
      <c r="A59" s="8"/>
      <c r="B59" s="5"/>
      <c r="C59" s="5" t="s">
        <v>557</v>
      </c>
      <c r="D59" s="8" t="n">
        <v>150</v>
      </c>
      <c r="E59" s="9" t="n">
        <v>34</v>
      </c>
      <c r="F59" s="10" t="n">
        <v>4.5</v>
      </c>
      <c r="G59" s="10" t="n">
        <v>0.5</v>
      </c>
      <c r="H59" s="10" t="n">
        <v>5.7</v>
      </c>
    </row>
    <row r="60" customFormat="false" ht="15" hidden="false" customHeight="false" outlineLevel="0" collapsed="false">
      <c r="A60" s="8"/>
      <c r="B60" s="5"/>
      <c r="C60" s="5" t="s">
        <v>489</v>
      </c>
      <c r="D60" s="8" t="n">
        <v>10</v>
      </c>
      <c r="E60" s="9" t="n">
        <v>88</v>
      </c>
      <c r="F60" s="10" t="n">
        <v>0</v>
      </c>
      <c r="G60" s="10" t="n">
        <v>10</v>
      </c>
      <c r="H60" s="10" t="n">
        <v>0</v>
      </c>
    </row>
    <row r="61" customFormat="false" ht="15" hidden="false" customHeight="false" outlineLevel="0" collapsed="false">
      <c r="A61" s="3"/>
      <c r="B61" s="3"/>
      <c r="C61" s="15" t="s">
        <v>493</v>
      </c>
      <c r="D61" s="3"/>
      <c r="E61" s="16" t="n">
        <f aca="false">SUM(E57:E60)</f>
        <v>662</v>
      </c>
      <c r="F61" s="17" t="n">
        <f aca="false">SUM(F57:F60)</f>
        <v>40.7</v>
      </c>
      <c r="G61" s="17" t="n">
        <f aca="false">SUM(G57:G60)</f>
        <v>19.7</v>
      </c>
      <c r="H61" s="17" t="n">
        <f aca="false">SUM(H57:H60)</f>
        <v>84.4</v>
      </c>
    </row>
    <row r="63" customFormat="false" ht="15" hidden="false" customHeight="false" outlineLevel="0" collapsed="false">
      <c r="A63" s="8" t="s">
        <v>646</v>
      </c>
      <c r="B63" s="5" t="s">
        <v>281</v>
      </c>
      <c r="C63" s="5" t="s">
        <v>626</v>
      </c>
      <c r="D63" s="8" t="n">
        <v>50</v>
      </c>
      <c r="E63" s="9" t="n">
        <v>98</v>
      </c>
      <c r="F63" s="10" t="n">
        <v>14</v>
      </c>
      <c r="G63" s="10" t="n">
        <v>4.5</v>
      </c>
      <c r="H63" s="10" t="n">
        <v>0.2</v>
      </c>
    </row>
    <row r="64" customFormat="false" ht="15" hidden="false" customHeight="false" outlineLevel="0" collapsed="false">
      <c r="A64" s="8"/>
      <c r="B64" s="5"/>
      <c r="C64" s="5" t="s">
        <v>647</v>
      </c>
      <c r="D64" s="8" t="n">
        <v>250</v>
      </c>
      <c r="E64" s="9" t="n">
        <v>85</v>
      </c>
      <c r="F64" s="10" t="n">
        <v>2</v>
      </c>
      <c r="G64" s="10" t="n">
        <v>0.5</v>
      </c>
      <c r="H64" s="10" t="n">
        <v>20.5</v>
      </c>
    </row>
    <row r="65" customFormat="false" ht="15" hidden="false" customHeight="false" outlineLevel="0" collapsed="false">
      <c r="A65" s="8"/>
      <c r="B65" s="5"/>
      <c r="C65" s="5" t="s">
        <v>648</v>
      </c>
      <c r="D65" s="8" t="n">
        <v>90</v>
      </c>
      <c r="E65" s="9" t="n">
        <v>252</v>
      </c>
      <c r="F65" s="10" t="n">
        <v>19.8</v>
      </c>
      <c r="G65" s="10" t="n">
        <v>18</v>
      </c>
      <c r="H65" s="10" t="n">
        <v>2</v>
      </c>
    </row>
    <row r="66" customFormat="false" ht="15" hidden="false" customHeight="false" outlineLevel="0" collapsed="false">
      <c r="A66" s="8"/>
      <c r="B66" s="5"/>
      <c r="C66" s="5" t="s">
        <v>573</v>
      </c>
      <c r="D66" s="8" t="n">
        <v>130</v>
      </c>
      <c r="E66" s="9" t="n">
        <v>321</v>
      </c>
      <c r="F66" s="10" t="n">
        <v>12.3</v>
      </c>
      <c r="G66" s="10" t="n">
        <v>4.5</v>
      </c>
      <c r="H66" s="10" t="n">
        <v>50.7</v>
      </c>
    </row>
    <row r="67" customFormat="false" ht="15" hidden="false" customHeight="false" outlineLevel="0" collapsed="false">
      <c r="A67" s="8"/>
      <c r="B67" s="5"/>
      <c r="C67" s="5" t="s">
        <v>489</v>
      </c>
      <c r="D67" s="8" t="n">
        <v>8</v>
      </c>
      <c r="E67" s="9" t="n">
        <v>71</v>
      </c>
      <c r="F67" s="10" t="n">
        <v>0</v>
      </c>
      <c r="G67" s="10" t="n">
        <v>8</v>
      </c>
      <c r="H67" s="10" t="n">
        <v>0</v>
      </c>
    </row>
    <row r="68" customFormat="false" ht="15" hidden="false" customHeight="false" outlineLevel="0" collapsed="false">
      <c r="A68" s="3"/>
      <c r="B68" s="3"/>
      <c r="C68" s="15" t="s">
        <v>493</v>
      </c>
      <c r="D68" s="3"/>
      <c r="E68" s="16" t="n">
        <f aca="false">SUM(E63:E67)</f>
        <v>827</v>
      </c>
      <c r="F68" s="17" t="n">
        <f aca="false">SUM(F63:F67)</f>
        <v>48.1</v>
      </c>
      <c r="G68" s="17" t="n">
        <f aca="false">SUM(G63:G67)</f>
        <v>35.5</v>
      </c>
      <c r="H68" s="17" t="n">
        <f aca="false">SUM(H63:H67)</f>
        <v>73.4</v>
      </c>
    </row>
    <row r="70" customFormat="false" ht="15" hidden="false" customHeight="false" outlineLevel="0" collapsed="false">
      <c r="A70" s="8" t="s">
        <v>649</v>
      </c>
      <c r="B70" s="5" t="s">
        <v>286</v>
      </c>
      <c r="C70" s="5" t="s">
        <v>485</v>
      </c>
      <c r="D70" s="8" t="n">
        <v>110</v>
      </c>
      <c r="E70" s="9" t="n">
        <v>182</v>
      </c>
      <c r="F70" s="10" t="n">
        <v>34.1</v>
      </c>
      <c r="G70" s="10" t="n">
        <v>4</v>
      </c>
      <c r="H70" s="10" t="n">
        <v>0</v>
      </c>
    </row>
    <row r="71" customFormat="false" ht="15" hidden="false" customHeight="false" outlineLevel="0" collapsed="false">
      <c r="A71" s="8"/>
      <c r="B71" s="5"/>
      <c r="C71" s="5" t="s">
        <v>495</v>
      </c>
      <c r="D71" s="8" t="n">
        <v>320</v>
      </c>
      <c r="E71" s="9" t="n">
        <v>506</v>
      </c>
      <c r="F71" s="10" t="n">
        <v>18.6</v>
      </c>
      <c r="G71" s="10" t="n">
        <v>2.9</v>
      </c>
      <c r="H71" s="10" t="n">
        <v>98.9</v>
      </c>
    </row>
    <row r="72" customFormat="false" ht="15" hidden="false" customHeight="false" outlineLevel="0" collapsed="false">
      <c r="A72" s="8"/>
      <c r="B72" s="5"/>
      <c r="C72" s="5" t="s">
        <v>605</v>
      </c>
      <c r="D72" s="8" t="n">
        <v>25</v>
      </c>
      <c r="E72" s="9" t="n">
        <v>112</v>
      </c>
      <c r="F72" s="10" t="n">
        <v>1.2</v>
      </c>
      <c r="G72" s="10" t="n">
        <v>11.2</v>
      </c>
      <c r="H72" s="10" t="n">
        <v>1</v>
      </c>
    </row>
    <row r="73" customFormat="false" ht="15" hidden="false" customHeight="false" outlineLevel="0" collapsed="false">
      <c r="A73" s="8"/>
      <c r="B73" s="5"/>
      <c r="C73" s="5" t="s">
        <v>537</v>
      </c>
      <c r="D73" s="8" t="n">
        <v>100</v>
      </c>
      <c r="E73" s="9" t="n">
        <v>18</v>
      </c>
      <c r="F73" s="10" t="n">
        <v>0.9</v>
      </c>
      <c r="G73" s="10" t="n">
        <v>0.2</v>
      </c>
      <c r="H73" s="10" t="n">
        <v>3.9</v>
      </c>
    </row>
    <row r="74" customFormat="false" ht="15" hidden="false" customHeight="false" outlineLevel="0" collapsed="false">
      <c r="A74" s="8"/>
      <c r="B74" s="5"/>
      <c r="C74" s="5" t="s">
        <v>557</v>
      </c>
      <c r="D74" s="8" t="n">
        <v>70</v>
      </c>
      <c r="E74" s="9" t="n">
        <v>16</v>
      </c>
      <c r="F74" s="10" t="n">
        <v>2.1</v>
      </c>
      <c r="G74" s="10" t="n">
        <v>0.2</v>
      </c>
      <c r="H74" s="10" t="n">
        <v>2.7</v>
      </c>
    </row>
    <row r="75" customFormat="false" ht="15" hidden="false" customHeight="false" outlineLevel="0" collapsed="false">
      <c r="A75" s="3"/>
      <c r="B75" s="3"/>
      <c r="C75" s="15" t="s">
        <v>493</v>
      </c>
      <c r="D75" s="3"/>
      <c r="E75" s="16" t="n">
        <f aca="false">SUM(E70:E74)</f>
        <v>834</v>
      </c>
      <c r="F75" s="17" t="n">
        <f aca="false">SUM(F70:F74)</f>
        <v>56.9</v>
      </c>
      <c r="G75" s="17" t="n">
        <f aca="false">SUM(G70:G74)</f>
        <v>18.5</v>
      </c>
      <c r="H75" s="17" t="n">
        <f aca="false">SUM(H70:H74)</f>
        <v>106.5</v>
      </c>
    </row>
    <row r="77" customFormat="false" ht="15" hidden="false" customHeight="false" outlineLevel="0" collapsed="false">
      <c r="A77" s="8" t="s">
        <v>650</v>
      </c>
      <c r="B77" s="5" t="s">
        <v>291</v>
      </c>
      <c r="C77" s="5" t="s">
        <v>634</v>
      </c>
      <c r="D77" s="8" t="n">
        <v>250</v>
      </c>
      <c r="E77" s="9" t="n">
        <v>142</v>
      </c>
      <c r="F77" s="10" t="n">
        <v>25</v>
      </c>
      <c r="G77" s="10" t="n">
        <v>0.5</v>
      </c>
      <c r="H77" s="10" t="n">
        <v>8.8</v>
      </c>
    </row>
    <row r="78" customFormat="false" ht="15" hidden="false" customHeight="false" outlineLevel="0" collapsed="false">
      <c r="A78" s="8"/>
      <c r="B78" s="5"/>
      <c r="C78" s="5" t="s">
        <v>639</v>
      </c>
      <c r="D78" s="8" t="n">
        <v>100</v>
      </c>
      <c r="E78" s="9" t="n">
        <v>380</v>
      </c>
      <c r="F78" s="10" t="n">
        <v>10</v>
      </c>
      <c r="G78" s="10" t="n">
        <v>7</v>
      </c>
      <c r="H78" s="10" t="n">
        <v>65</v>
      </c>
    </row>
    <row r="79" customFormat="false" ht="15" hidden="false" customHeight="false" outlineLevel="0" collapsed="false">
      <c r="A79" s="8"/>
      <c r="B79" s="5"/>
      <c r="C79" s="5" t="s">
        <v>640</v>
      </c>
      <c r="D79" s="8" t="n">
        <v>120</v>
      </c>
      <c r="E79" s="9" t="n">
        <v>68</v>
      </c>
      <c r="F79" s="10" t="n">
        <v>0.8</v>
      </c>
      <c r="G79" s="10" t="n">
        <v>0.4</v>
      </c>
      <c r="H79" s="10" t="n">
        <v>17.4</v>
      </c>
    </row>
    <row r="80" customFormat="false" ht="15" hidden="false" customHeight="false" outlineLevel="0" collapsed="false">
      <c r="A80" s="8"/>
      <c r="B80" s="5"/>
      <c r="C80" s="5" t="s">
        <v>488</v>
      </c>
      <c r="D80" s="8" t="n">
        <v>20</v>
      </c>
      <c r="E80" s="9" t="n">
        <v>61</v>
      </c>
      <c r="F80" s="10" t="n">
        <v>0.1</v>
      </c>
      <c r="G80" s="10" t="n">
        <v>0</v>
      </c>
      <c r="H80" s="10" t="n">
        <v>16.5</v>
      </c>
    </row>
    <row r="81" customFormat="false" ht="15" hidden="false" customHeight="false" outlineLevel="0" collapsed="false">
      <c r="A81" s="8"/>
      <c r="B81" s="5"/>
      <c r="C81" s="5" t="s">
        <v>651</v>
      </c>
      <c r="D81" s="8" t="n">
        <v>15</v>
      </c>
      <c r="E81" s="9" t="n">
        <v>98</v>
      </c>
      <c r="F81" s="10" t="n">
        <v>2.3</v>
      </c>
      <c r="G81" s="10" t="n">
        <v>9.8</v>
      </c>
      <c r="H81" s="10" t="n">
        <v>2.1</v>
      </c>
    </row>
    <row r="82" customFormat="false" ht="15" hidden="false" customHeight="false" outlineLevel="0" collapsed="false">
      <c r="A82" s="8"/>
      <c r="B82" s="5"/>
      <c r="C82" s="5" t="s">
        <v>492</v>
      </c>
      <c r="D82" s="8" t="n">
        <v>100</v>
      </c>
      <c r="E82" s="9" t="n">
        <v>35</v>
      </c>
      <c r="F82" s="10" t="n">
        <v>0.8</v>
      </c>
      <c r="G82" s="10" t="n">
        <v>0.2</v>
      </c>
      <c r="H82" s="10" t="n">
        <v>8.2</v>
      </c>
    </row>
    <row r="83" customFormat="false" ht="15" hidden="false" customHeight="false" outlineLevel="0" collapsed="false">
      <c r="A83" s="3"/>
      <c r="B83" s="3"/>
      <c r="C83" s="15" t="s">
        <v>493</v>
      </c>
      <c r="D83" s="3"/>
      <c r="E83" s="16" t="n">
        <f aca="false">SUM(E77:E82)</f>
        <v>784</v>
      </c>
      <c r="F83" s="17" t="n">
        <f aca="false">SUM(F77:F82)</f>
        <v>39</v>
      </c>
      <c r="G83" s="17" t="n">
        <f aca="false">SUM(G77:G82)</f>
        <v>17.9</v>
      </c>
      <c r="H83" s="17" t="n">
        <f aca="false">SUM(H77:H82)</f>
        <v>118</v>
      </c>
    </row>
    <row r="85" customFormat="false" ht="15" hidden="false" customHeight="false" outlineLevel="0" collapsed="false">
      <c r="A85" s="8" t="s">
        <v>652</v>
      </c>
      <c r="B85" s="5" t="s">
        <v>296</v>
      </c>
      <c r="C85" s="5" t="s">
        <v>573</v>
      </c>
      <c r="D85" s="8" t="n">
        <v>200</v>
      </c>
      <c r="E85" s="9" t="n">
        <v>494</v>
      </c>
      <c r="F85" s="10" t="n">
        <v>19</v>
      </c>
      <c r="G85" s="10" t="n">
        <v>7</v>
      </c>
      <c r="H85" s="10" t="n">
        <v>78</v>
      </c>
    </row>
    <row r="86" customFormat="false" ht="15" hidden="false" customHeight="false" outlineLevel="0" collapsed="false">
      <c r="A86" s="8"/>
      <c r="B86" s="5"/>
      <c r="C86" s="5" t="s">
        <v>485</v>
      </c>
      <c r="D86" s="8" t="n">
        <v>95</v>
      </c>
      <c r="E86" s="9" t="n">
        <v>157</v>
      </c>
      <c r="F86" s="10" t="n">
        <v>29.4</v>
      </c>
      <c r="G86" s="10" t="n">
        <v>3.4</v>
      </c>
      <c r="H86" s="10" t="n">
        <v>0</v>
      </c>
    </row>
    <row r="87" customFormat="false" ht="15" hidden="false" customHeight="false" outlineLevel="0" collapsed="false">
      <c r="A87" s="8"/>
      <c r="B87" s="5"/>
      <c r="C87" s="5" t="s">
        <v>653</v>
      </c>
      <c r="D87" s="8" t="n">
        <v>85</v>
      </c>
      <c r="E87" s="9" t="n">
        <v>83</v>
      </c>
      <c r="F87" s="10" t="n">
        <v>9.3</v>
      </c>
      <c r="G87" s="10" t="n">
        <v>3.7</v>
      </c>
      <c r="H87" s="10" t="n">
        <v>2.9</v>
      </c>
    </row>
    <row r="88" customFormat="false" ht="15" hidden="false" customHeight="false" outlineLevel="0" collapsed="false">
      <c r="A88" s="8"/>
      <c r="B88" s="5"/>
      <c r="C88" s="5" t="s">
        <v>542</v>
      </c>
      <c r="D88" s="8" t="n">
        <v>80</v>
      </c>
      <c r="E88" s="9" t="n">
        <v>12</v>
      </c>
      <c r="F88" s="10" t="n">
        <v>0.6</v>
      </c>
      <c r="G88" s="10" t="n">
        <v>0.1</v>
      </c>
      <c r="H88" s="10" t="n">
        <v>2.9</v>
      </c>
    </row>
    <row r="89" customFormat="false" ht="15" hidden="false" customHeight="false" outlineLevel="0" collapsed="false">
      <c r="A89" s="8"/>
      <c r="B89" s="5"/>
      <c r="C89" s="5" t="s">
        <v>537</v>
      </c>
      <c r="D89" s="8" t="n">
        <v>70</v>
      </c>
      <c r="E89" s="9" t="n">
        <v>13</v>
      </c>
      <c r="F89" s="10" t="n">
        <v>0.6</v>
      </c>
      <c r="G89" s="10" t="n">
        <v>0.1</v>
      </c>
      <c r="H89" s="10" t="n">
        <v>2.7</v>
      </c>
    </row>
    <row r="90" customFormat="false" ht="15" hidden="false" customHeight="false" outlineLevel="0" collapsed="false">
      <c r="A90" s="8"/>
      <c r="B90" s="5"/>
      <c r="C90" s="5" t="s">
        <v>492</v>
      </c>
      <c r="D90" s="8" t="n">
        <v>100</v>
      </c>
      <c r="E90" s="9" t="n">
        <v>35</v>
      </c>
      <c r="F90" s="10" t="n">
        <v>0.8</v>
      </c>
      <c r="G90" s="10" t="n">
        <v>0.2</v>
      </c>
      <c r="H90" s="10" t="n">
        <v>8.2</v>
      </c>
    </row>
    <row r="91" customFormat="false" ht="15" hidden="false" customHeight="false" outlineLevel="0" collapsed="false">
      <c r="A91" s="3"/>
      <c r="B91" s="3"/>
      <c r="C91" s="15" t="s">
        <v>493</v>
      </c>
      <c r="D91" s="3"/>
      <c r="E91" s="16" t="n">
        <f aca="false">SUM(E85:E90)</f>
        <v>794</v>
      </c>
      <c r="F91" s="17" t="n">
        <f aca="false">SUM(F85:F90)</f>
        <v>59.7</v>
      </c>
      <c r="G91" s="17" t="n">
        <f aca="false">SUM(G85:G90)</f>
        <v>14.5</v>
      </c>
      <c r="H91" s="17" t="n">
        <f aca="false">SUM(H85:H90)</f>
        <v>94.7</v>
      </c>
    </row>
    <row r="93" customFormat="false" ht="15" hidden="false" customHeight="false" outlineLevel="0" collapsed="false">
      <c r="A93" s="8" t="s">
        <v>654</v>
      </c>
      <c r="B93" s="5" t="s">
        <v>301</v>
      </c>
      <c r="C93" s="5" t="s">
        <v>521</v>
      </c>
      <c r="D93" s="8" t="n">
        <v>350</v>
      </c>
      <c r="E93" s="9" t="n">
        <v>392</v>
      </c>
      <c r="F93" s="10" t="n">
        <v>13.3</v>
      </c>
      <c r="G93" s="10" t="n">
        <v>0.7</v>
      </c>
      <c r="H93" s="10" t="n">
        <v>81.2</v>
      </c>
    </row>
    <row r="94" customFormat="false" ht="15" hidden="false" customHeight="false" outlineLevel="0" collapsed="false">
      <c r="A94" s="8"/>
      <c r="B94" s="5"/>
      <c r="C94" s="5" t="s">
        <v>655</v>
      </c>
      <c r="D94" s="8" t="n">
        <v>150</v>
      </c>
      <c r="E94" s="9" t="n">
        <v>178</v>
      </c>
      <c r="F94" s="10" t="n">
        <v>10.5</v>
      </c>
      <c r="G94" s="10" t="n">
        <v>3.9</v>
      </c>
      <c r="H94" s="10" t="n">
        <v>26.7</v>
      </c>
    </row>
    <row r="95" customFormat="false" ht="15" hidden="false" customHeight="false" outlineLevel="0" collapsed="false">
      <c r="A95" s="8"/>
      <c r="B95" s="5"/>
      <c r="C95" s="5" t="s">
        <v>574</v>
      </c>
      <c r="D95" s="8" t="n">
        <v>60</v>
      </c>
      <c r="E95" s="9" t="n">
        <v>158</v>
      </c>
      <c r="F95" s="10" t="n">
        <v>8.5</v>
      </c>
      <c r="G95" s="10" t="n">
        <v>12.8</v>
      </c>
      <c r="H95" s="10" t="n">
        <v>2.5</v>
      </c>
    </row>
    <row r="96" customFormat="false" ht="15" hidden="false" customHeight="false" outlineLevel="0" collapsed="false">
      <c r="A96" s="8"/>
      <c r="B96" s="5"/>
      <c r="C96" s="5" t="s">
        <v>513</v>
      </c>
      <c r="D96" s="8" t="n">
        <v>100</v>
      </c>
      <c r="E96" s="9" t="n">
        <v>31</v>
      </c>
      <c r="F96" s="10" t="n">
        <v>1</v>
      </c>
      <c r="G96" s="10" t="n">
        <v>0.3</v>
      </c>
      <c r="H96" s="10" t="n">
        <v>6</v>
      </c>
    </row>
    <row r="97" customFormat="false" ht="15" hidden="false" customHeight="false" outlineLevel="0" collapsed="false">
      <c r="A97" s="8"/>
      <c r="B97" s="5"/>
      <c r="C97" s="5" t="s">
        <v>542</v>
      </c>
      <c r="D97" s="8" t="n">
        <v>80</v>
      </c>
      <c r="E97" s="9" t="n">
        <v>12</v>
      </c>
      <c r="F97" s="10" t="n">
        <v>0.6</v>
      </c>
      <c r="G97" s="10" t="n">
        <v>0.1</v>
      </c>
      <c r="H97" s="10" t="n">
        <v>2.9</v>
      </c>
    </row>
    <row r="98" customFormat="false" ht="15" hidden="false" customHeight="false" outlineLevel="0" collapsed="false">
      <c r="A98" s="8"/>
      <c r="B98" s="5"/>
      <c r="C98" s="5" t="s">
        <v>489</v>
      </c>
      <c r="D98" s="8" t="n">
        <v>12</v>
      </c>
      <c r="E98" s="9" t="n">
        <v>106</v>
      </c>
      <c r="F98" s="10" t="n">
        <v>0</v>
      </c>
      <c r="G98" s="10" t="n">
        <v>12</v>
      </c>
      <c r="H98" s="10" t="n">
        <v>0</v>
      </c>
    </row>
    <row r="99" customFormat="false" ht="15" hidden="false" customHeight="false" outlineLevel="0" collapsed="false">
      <c r="A99" s="8"/>
      <c r="B99" s="5"/>
      <c r="C99" s="5" t="s">
        <v>492</v>
      </c>
      <c r="D99" s="8" t="n">
        <v>100</v>
      </c>
      <c r="E99" s="9" t="n">
        <v>35</v>
      </c>
      <c r="F99" s="10" t="n">
        <v>0.8</v>
      </c>
      <c r="G99" s="10" t="n">
        <v>0.2</v>
      </c>
      <c r="H99" s="10" t="n">
        <v>8.2</v>
      </c>
    </row>
    <row r="100" customFormat="false" ht="15" hidden="false" customHeight="false" outlineLevel="0" collapsed="false">
      <c r="A100" s="3"/>
      <c r="B100" s="3"/>
      <c r="C100" s="15" t="s">
        <v>493</v>
      </c>
      <c r="D100" s="3"/>
      <c r="E100" s="16" t="n">
        <f aca="false">SUM(E93:E99)</f>
        <v>912</v>
      </c>
      <c r="F100" s="17" t="n">
        <f aca="false">SUM(F93:F99)</f>
        <v>34.7</v>
      </c>
      <c r="G100" s="17" t="n">
        <f aca="false">SUM(G93:G99)</f>
        <v>30</v>
      </c>
      <c r="H100" s="17" t="n">
        <f aca="false">SUM(H93:H99)</f>
        <v>127.5</v>
      </c>
    </row>
    <row r="102" customFormat="false" ht="15" hidden="false" customHeight="false" outlineLevel="0" collapsed="false">
      <c r="A102" s="8" t="s">
        <v>656</v>
      </c>
      <c r="B102" s="5" t="s">
        <v>306</v>
      </c>
      <c r="C102" s="5" t="s">
        <v>496</v>
      </c>
      <c r="D102" s="8" t="n">
        <v>110</v>
      </c>
      <c r="E102" s="9" t="n">
        <v>198</v>
      </c>
      <c r="F102" s="10" t="n">
        <v>28.6</v>
      </c>
      <c r="G102" s="10" t="n">
        <v>8.8</v>
      </c>
      <c r="H102" s="10" t="n">
        <v>0</v>
      </c>
    </row>
    <row r="103" customFormat="false" ht="15" hidden="false" customHeight="false" outlineLevel="0" collapsed="false">
      <c r="A103" s="8"/>
      <c r="B103" s="5"/>
      <c r="C103" s="5" t="s">
        <v>528</v>
      </c>
      <c r="D103" s="8" t="n">
        <v>150</v>
      </c>
      <c r="E103" s="9" t="n">
        <v>458</v>
      </c>
      <c r="F103" s="10" t="n">
        <v>12.8</v>
      </c>
      <c r="G103" s="10" t="n">
        <v>11.2</v>
      </c>
      <c r="H103" s="10" t="n">
        <v>73.5</v>
      </c>
    </row>
    <row r="104" customFormat="false" ht="15" hidden="false" customHeight="false" outlineLevel="0" collapsed="false">
      <c r="A104" s="8"/>
      <c r="B104" s="5"/>
      <c r="C104" s="5" t="s">
        <v>536</v>
      </c>
      <c r="D104" s="8" t="n">
        <v>50</v>
      </c>
      <c r="E104" s="9" t="n">
        <v>8</v>
      </c>
      <c r="F104" s="10" t="n">
        <v>0.5</v>
      </c>
      <c r="G104" s="10" t="n">
        <v>0.1</v>
      </c>
      <c r="H104" s="10" t="n">
        <v>1</v>
      </c>
    </row>
    <row r="105" customFormat="false" ht="15" hidden="false" customHeight="false" outlineLevel="0" collapsed="false">
      <c r="A105" s="8"/>
      <c r="B105" s="5"/>
      <c r="C105" s="5" t="s">
        <v>537</v>
      </c>
      <c r="D105" s="8" t="n">
        <v>80</v>
      </c>
      <c r="E105" s="9" t="n">
        <v>14</v>
      </c>
      <c r="F105" s="10" t="n">
        <v>0.7</v>
      </c>
      <c r="G105" s="10" t="n">
        <v>0.2</v>
      </c>
      <c r="H105" s="10" t="n">
        <v>3.1</v>
      </c>
    </row>
    <row r="106" customFormat="false" ht="15" hidden="false" customHeight="false" outlineLevel="0" collapsed="false">
      <c r="A106" s="8"/>
      <c r="B106" s="5"/>
      <c r="C106" s="5" t="s">
        <v>530</v>
      </c>
      <c r="D106" s="8" t="n">
        <v>50</v>
      </c>
      <c r="E106" s="9" t="n">
        <v>82</v>
      </c>
      <c r="F106" s="10" t="n">
        <v>1</v>
      </c>
      <c r="G106" s="10" t="n">
        <v>7.5</v>
      </c>
      <c r="H106" s="10" t="n">
        <v>4</v>
      </c>
    </row>
    <row r="107" customFormat="false" ht="15" hidden="false" customHeight="false" outlineLevel="0" collapsed="false">
      <c r="A107" s="8"/>
      <c r="B107" s="5"/>
      <c r="C107" s="5" t="s">
        <v>492</v>
      </c>
      <c r="D107" s="8" t="n">
        <v>100</v>
      </c>
      <c r="E107" s="9" t="n">
        <v>35</v>
      </c>
      <c r="F107" s="10" t="n">
        <v>0.8</v>
      </c>
      <c r="G107" s="10" t="n">
        <v>0.2</v>
      </c>
      <c r="H107" s="10" t="n">
        <v>8.2</v>
      </c>
    </row>
    <row r="108" customFormat="false" ht="15" hidden="false" customHeight="false" outlineLevel="0" collapsed="false">
      <c r="A108" s="3"/>
      <c r="B108" s="3"/>
      <c r="C108" s="15" t="s">
        <v>493</v>
      </c>
      <c r="D108" s="3"/>
      <c r="E108" s="16" t="n">
        <f aca="false">SUM(E102:E107)</f>
        <v>795</v>
      </c>
      <c r="F108" s="17" t="n">
        <f aca="false">SUM(F102:F107)</f>
        <v>44.4</v>
      </c>
      <c r="G108" s="17" t="n">
        <f aca="false">SUM(G102:G107)</f>
        <v>28</v>
      </c>
      <c r="H108" s="17" t="n">
        <f aca="false">SUM(H102:H107)</f>
        <v>89.8</v>
      </c>
    </row>
    <row r="110" customFormat="false" ht="15" hidden="false" customHeight="false" outlineLevel="0" collapsed="false">
      <c r="A110" s="8" t="s">
        <v>657</v>
      </c>
      <c r="B110" s="5" t="s">
        <v>311</v>
      </c>
      <c r="C110" s="5" t="s">
        <v>568</v>
      </c>
      <c r="D110" s="8" t="n">
        <v>95</v>
      </c>
      <c r="E110" s="9" t="n">
        <v>198</v>
      </c>
      <c r="F110" s="10" t="n">
        <v>20.9</v>
      </c>
      <c r="G110" s="10" t="n">
        <v>12.3</v>
      </c>
      <c r="H110" s="10" t="n">
        <v>0</v>
      </c>
    </row>
    <row r="111" customFormat="false" ht="15" hidden="false" customHeight="false" outlineLevel="0" collapsed="false">
      <c r="A111" s="8"/>
      <c r="B111" s="5"/>
      <c r="C111" s="5" t="s">
        <v>553</v>
      </c>
      <c r="D111" s="8" t="n">
        <v>350</v>
      </c>
      <c r="E111" s="9" t="n">
        <v>430</v>
      </c>
      <c r="F111" s="10" t="n">
        <v>8</v>
      </c>
      <c r="G111" s="10" t="n">
        <v>1.4</v>
      </c>
      <c r="H111" s="10" t="n">
        <v>98.7</v>
      </c>
    </row>
    <row r="112" customFormat="false" ht="15" hidden="false" customHeight="false" outlineLevel="0" collapsed="false">
      <c r="A112" s="8"/>
      <c r="B112" s="5"/>
      <c r="C112" s="5" t="s">
        <v>542</v>
      </c>
      <c r="D112" s="8" t="n">
        <v>90</v>
      </c>
      <c r="E112" s="9" t="n">
        <v>14</v>
      </c>
      <c r="F112" s="10" t="n">
        <v>0.6</v>
      </c>
      <c r="G112" s="10" t="n">
        <v>0.1</v>
      </c>
      <c r="H112" s="10" t="n">
        <v>3.2</v>
      </c>
    </row>
    <row r="113" customFormat="false" ht="15" hidden="false" customHeight="false" outlineLevel="0" collapsed="false">
      <c r="A113" s="8"/>
      <c r="B113" s="5"/>
      <c r="C113" s="5" t="s">
        <v>537</v>
      </c>
      <c r="D113" s="8" t="n">
        <v>90</v>
      </c>
      <c r="E113" s="9" t="n">
        <v>16</v>
      </c>
      <c r="F113" s="10" t="n">
        <v>0.8</v>
      </c>
      <c r="G113" s="10" t="n">
        <v>0.2</v>
      </c>
      <c r="H113" s="10" t="n">
        <v>3.5</v>
      </c>
    </row>
    <row r="114" customFormat="false" ht="15" hidden="false" customHeight="false" outlineLevel="0" collapsed="false">
      <c r="A114" s="8"/>
      <c r="B114" s="5"/>
      <c r="C114" s="5" t="s">
        <v>489</v>
      </c>
      <c r="D114" s="8" t="n">
        <v>10</v>
      </c>
      <c r="E114" s="9" t="n">
        <v>88</v>
      </c>
      <c r="F114" s="10" t="n">
        <v>0</v>
      </c>
      <c r="G114" s="10" t="n">
        <v>10</v>
      </c>
      <c r="H114" s="10" t="n">
        <v>0</v>
      </c>
    </row>
    <row r="115" customFormat="false" ht="15" hidden="false" customHeight="false" outlineLevel="0" collapsed="false">
      <c r="A115" s="8"/>
      <c r="B115" s="5"/>
      <c r="C115" s="5" t="s">
        <v>514</v>
      </c>
      <c r="D115" s="8" t="n">
        <v>10</v>
      </c>
      <c r="E115" s="9" t="n">
        <v>2</v>
      </c>
      <c r="F115" s="10" t="n">
        <v>0</v>
      </c>
      <c r="G115" s="10" t="n">
        <v>0</v>
      </c>
      <c r="H115" s="10" t="n">
        <v>0.7</v>
      </c>
    </row>
    <row r="116" customFormat="false" ht="15" hidden="false" customHeight="false" outlineLevel="0" collapsed="false">
      <c r="A116" s="8"/>
      <c r="B116" s="5"/>
      <c r="C116" s="5" t="s">
        <v>492</v>
      </c>
      <c r="D116" s="8" t="n">
        <v>100</v>
      </c>
      <c r="E116" s="9" t="n">
        <v>35</v>
      </c>
      <c r="F116" s="10" t="n">
        <v>0.8</v>
      </c>
      <c r="G116" s="10" t="n">
        <v>0.2</v>
      </c>
      <c r="H116" s="10" t="n">
        <v>8.2</v>
      </c>
    </row>
    <row r="117" customFormat="false" ht="15" hidden="false" customHeight="false" outlineLevel="0" collapsed="false">
      <c r="A117" s="3"/>
      <c r="B117" s="3"/>
      <c r="C117" s="15" t="s">
        <v>493</v>
      </c>
      <c r="D117" s="3"/>
      <c r="E117" s="16" t="n">
        <f aca="false">SUM(E110:E116)</f>
        <v>783</v>
      </c>
      <c r="F117" s="17" t="n">
        <f aca="false">SUM(F110:F116)</f>
        <v>31.1</v>
      </c>
      <c r="G117" s="17" t="n">
        <f aca="false">SUM(G110:G116)</f>
        <v>24.2</v>
      </c>
      <c r="H117" s="17" t="n">
        <f aca="false">SUM(H110:H116)</f>
        <v>114.3</v>
      </c>
    </row>
    <row r="119" customFormat="false" ht="15" hidden="false" customHeight="false" outlineLevel="0" collapsed="false">
      <c r="A119" s="8" t="s">
        <v>658</v>
      </c>
      <c r="B119" s="5" t="s">
        <v>316</v>
      </c>
      <c r="C119" s="5" t="s">
        <v>638</v>
      </c>
      <c r="D119" s="8" t="n">
        <v>250</v>
      </c>
      <c r="E119" s="9" t="n">
        <v>158</v>
      </c>
      <c r="F119" s="10" t="n">
        <v>27.5</v>
      </c>
      <c r="G119" s="10" t="n">
        <v>0.5</v>
      </c>
      <c r="H119" s="10" t="n">
        <v>10</v>
      </c>
    </row>
    <row r="120" customFormat="false" ht="15" hidden="false" customHeight="false" outlineLevel="0" collapsed="false">
      <c r="A120" s="8"/>
      <c r="B120" s="5"/>
      <c r="C120" s="5" t="s">
        <v>641</v>
      </c>
      <c r="D120" s="8" t="n">
        <v>120</v>
      </c>
      <c r="E120" s="9" t="n">
        <v>107</v>
      </c>
      <c r="F120" s="10" t="n">
        <v>1.3</v>
      </c>
      <c r="G120" s="10" t="n">
        <v>0.4</v>
      </c>
      <c r="H120" s="10" t="n">
        <v>27.4</v>
      </c>
    </row>
    <row r="121" customFormat="false" ht="15" hidden="false" customHeight="false" outlineLevel="0" collapsed="false">
      <c r="A121" s="8"/>
      <c r="B121" s="5"/>
      <c r="C121" s="5" t="s">
        <v>607</v>
      </c>
      <c r="D121" s="8" t="n">
        <v>30</v>
      </c>
      <c r="E121" s="9" t="n">
        <v>176</v>
      </c>
      <c r="F121" s="10" t="n">
        <v>7.5</v>
      </c>
      <c r="G121" s="10" t="n">
        <v>14.7</v>
      </c>
      <c r="H121" s="10" t="n">
        <v>4.5</v>
      </c>
    </row>
    <row r="122" customFormat="false" ht="15" hidden="false" customHeight="false" outlineLevel="0" collapsed="false">
      <c r="A122" s="8"/>
      <c r="B122" s="5"/>
      <c r="C122" s="5" t="s">
        <v>488</v>
      </c>
      <c r="D122" s="8" t="n">
        <v>20</v>
      </c>
      <c r="E122" s="9" t="n">
        <v>61</v>
      </c>
      <c r="F122" s="10" t="n">
        <v>0.1</v>
      </c>
      <c r="G122" s="10" t="n">
        <v>0</v>
      </c>
      <c r="H122" s="10" t="n">
        <v>16.5</v>
      </c>
    </row>
    <row r="123" customFormat="false" ht="15" hidden="false" customHeight="false" outlineLevel="0" collapsed="false">
      <c r="A123" s="8"/>
      <c r="B123" s="5"/>
      <c r="C123" s="5" t="s">
        <v>639</v>
      </c>
      <c r="D123" s="8" t="n">
        <v>50</v>
      </c>
      <c r="E123" s="9" t="n">
        <v>190</v>
      </c>
      <c r="F123" s="10" t="n">
        <v>5</v>
      </c>
      <c r="G123" s="10" t="n">
        <v>3.5</v>
      </c>
      <c r="H123" s="10" t="n">
        <v>32.5</v>
      </c>
    </row>
    <row r="124" customFormat="false" ht="15" hidden="false" customHeight="false" outlineLevel="0" collapsed="false">
      <c r="A124" s="8"/>
      <c r="B124" s="5"/>
      <c r="C124" s="5" t="s">
        <v>492</v>
      </c>
      <c r="D124" s="8" t="n">
        <v>100</v>
      </c>
      <c r="E124" s="9" t="n">
        <v>35</v>
      </c>
      <c r="F124" s="10" t="n">
        <v>0.8</v>
      </c>
      <c r="G124" s="10" t="n">
        <v>0.2</v>
      </c>
      <c r="H124" s="10" t="n">
        <v>8.2</v>
      </c>
    </row>
    <row r="125" customFormat="false" ht="15" hidden="false" customHeight="false" outlineLevel="0" collapsed="false">
      <c r="A125" s="3"/>
      <c r="B125" s="3"/>
      <c r="C125" s="15" t="s">
        <v>493</v>
      </c>
      <c r="D125" s="3"/>
      <c r="E125" s="16" t="n">
        <f aca="false">SUM(E119:E124)</f>
        <v>727</v>
      </c>
      <c r="F125" s="17" t="n">
        <f aca="false">SUM(F119:F124)</f>
        <v>42.2</v>
      </c>
      <c r="G125" s="17" t="n">
        <f aca="false">SUM(G119:G124)</f>
        <v>19.3</v>
      </c>
      <c r="H125" s="17" t="n">
        <f aca="false">SUM(H119:H124)</f>
        <v>99.1</v>
      </c>
    </row>
    <row r="127" customFormat="false" ht="15" hidden="false" customHeight="false" outlineLevel="0" collapsed="false">
      <c r="A127" s="8" t="s">
        <v>659</v>
      </c>
      <c r="B127" s="5" t="s">
        <v>321</v>
      </c>
      <c r="C127" s="5" t="s">
        <v>574</v>
      </c>
      <c r="D127" s="8" t="n">
        <v>70</v>
      </c>
      <c r="E127" s="9" t="n">
        <v>185</v>
      </c>
      <c r="F127" s="10" t="n">
        <v>9.9</v>
      </c>
      <c r="G127" s="10" t="n">
        <v>14.9</v>
      </c>
      <c r="H127" s="10" t="n">
        <v>2.9</v>
      </c>
    </row>
    <row r="128" customFormat="false" ht="15" hidden="false" customHeight="false" outlineLevel="0" collapsed="false">
      <c r="A128" s="8"/>
      <c r="B128" s="5"/>
      <c r="C128" s="5" t="s">
        <v>542</v>
      </c>
      <c r="D128" s="8" t="n">
        <v>120</v>
      </c>
      <c r="E128" s="9" t="n">
        <v>18</v>
      </c>
      <c r="F128" s="10" t="n">
        <v>0.8</v>
      </c>
      <c r="G128" s="10" t="n">
        <v>0.1</v>
      </c>
      <c r="H128" s="10" t="n">
        <v>4.3</v>
      </c>
    </row>
    <row r="129" customFormat="false" ht="15" hidden="false" customHeight="false" outlineLevel="0" collapsed="false">
      <c r="A129" s="8"/>
      <c r="B129" s="5"/>
      <c r="C129" s="5" t="s">
        <v>537</v>
      </c>
      <c r="D129" s="8" t="n">
        <v>150</v>
      </c>
      <c r="E129" s="9" t="n">
        <v>27</v>
      </c>
      <c r="F129" s="10" t="n">
        <v>1.4</v>
      </c>
      <c r="G129" s="10" t="n">
        <v>0.3</v>
      </c>
      <c r="H129" s="10" t="n">
        <v>5.8</v>
      </c>
    </row>
    <row r="130" customFormat="false" ht="15" hidden="false" customHeight="false" outlineLevel="0" collapsed="false">
      <c r="A130" s="8"/>
      <c r="B130" s="5"/>
      <c r="C130" s="5" t="s">
        <v>499</v>
      </c>
      <c r="D130" s="8" t="n">
        <v>30</v>
      </c>
      <c r="E130" s="9" t="n">
        <v>16</v>
      </c>
      <c r="F130" s="10" t="n">
        <v>0.3</v>
      </c>
      <c r="G130" s="10" t="n">
        <v>0.8</v>
      </c>
      <c r="H130" s="10" t="n">
        <v>2.3</v>
      </c>
    </row>
    <row r="131" customFormat="false" ht="15" hidden="false" customHeight="false" outlineLevel="0" collapsed="false">
      <c r="A131" s="8"/>
      <c r="B131" s="5"/>
      <c r="C131" s="5" t="s">
        <v>489</v>
      </c>
      <c r="D131" s="8" t="n">
        <v>15</v>
      </c>
      <c r="E131" s="9" t="n">
        <v>133</v>
      </c>
      <c r="F131" s="10" t="n">
        <v>0</v>
      </c>
      <c r="G131" s="10" t="n">
        <v>15</v>
      </c>
      <c r="H131" s="10" t="n">
        <v>0</v>
      </c>
    </row>
    <row r="132" customFormat="false" ht="15" hidden="false" customHeight="false" outlineLevel="0" collapsed="false">
      <c r="A132" s="8"/>
      <c r="B132" s="5"/>
      <c r="C132" s="5" t="s">
        <v>548</v>
      </c>
      <c r="D132" s="8" t="n">
        <v>150</v>
      </c>
      <c r="E132" s="9" t="n">
        <v>412</v>
      </c>
      <c r="F132" s="10" t="n">
        <v>13.7</v>
      </c>
      <c r="G132" s="10" t="n">
        <v>1.8</v>
      </c>
      <c r="H132" s="10" t="n">
        <v>83.5</v>
      </c>
    </row>
    <row r="133" customFormat="false" ht="15" hidden="false" customHeight="false" outlineLevel="0" collapsed="false">
      <c r="A133" s="8"/>
      <c r="B133" s="5"/>
      <c r="C133" s="5" t="s">
        <v>485</v>
      </c>
      <c r="D133" s="8" t="n">
        <v>70</v>
      </c>
      <c r="E133" s="9" t="n">
        <v>116</v>
      </c>
      <c r="F133" s="10" t="n">
        <v>21.7</v>
      </c>
      <c r="G133" s="10" t="n">
        <v>2.5</v>
      </c>
      <c r="H133" s="10" t="n">
        <v>0</v>
      </c>
    </row>
    <row r="134" customFormat="false" ht="15" hidden="false" customHeight="false" outlineLevel="0" collapsed="false">
      <c r="A134" s="8"/>
      <c r="B134" s="5"/>
      <c r="C134" s="5" t="s">
        <v>492</v>
      </c>
      <c r="D134" s="8" t="n">
        <v>100</v>
      </c>
      <c r="E134" s="9" t="n">
        <v>35</v>
      </c>
      <c r="F134" s="10" t="n">
        <v>0.8</v>
      </c>
      <c r="G134" s="10" t="n">
        <v>0.2</v>
      </c>
      <c r="H134" s="10" t="n">
        <v>8.2</v>
      </c>
    </row>
    <row r="135" customFormat="false" ht="15" hidden="false" customHeight="false" outlineLevel="0" collapsed="false">
      <c r="A135" s="3"/>
      <c r="B135" s="3"/>
      <c r="C135" s="15" t="s">
        <v>493</v>
      </c>
      <c r="D135" s="3"/>
      <c r="E135" s="16" t="n">
        <f aca="false">SUM(E127:E134)</f>
        <v>942</v>
      </c>
      <c r="F135" s="17" t="n">
        <f aca="false">SUM(F127:F134)</f>
        <v>48.6</v>
      </c>
      <c r="G135" s="17" t="n">
        <f aca="false">SUM(G127:G134)</f>
        <v>35.6</v>
      </c>
      <c r="H135" s="17" t="n">
        <f aca="false">SUM(H127:H134)</f>
        <v>107</v>
      </c>
    </row>
    <row r="137" customFormat="false" ht="15" hidden="false" customHeight="false" outlineLevel="0" collapsed="false">
      <c r="A137" s="8" t="s">
        <v>660</v>
      </c>
      <c r="B137" s="5" t="s">
        <v>326</v>
      </c>
      <c r="C137" s="5" t="s">
        <v>496</v>
      </c>
      <c r="D137" s="8" t="n">
        <v>95</v>
      </c>
      <c r="E137" s="9" t="n">
        <v>171</v>
      </c>
      <c r="F137" s="10" t="n">
        <v>24.7</v>
      </c>
      <c r="G137" s="10" t="n">
        <v>7.6</v>
      </c>
      <c r="H137" s="10" t="n">
        <v>0</v>
      </c>
    </row>
    <row r="138" customFormat="false" ht="15" hidden="false" customHeight="false" outlineLevel="0" collapsed="false">
      <c r="A138" s="8"/>
      <c r="B138" s="5"/>
      <c r="C138" s="5" t="s">
        <v>599</v>
      </c>
      <c r="D138" s="8" t="n">
        <v>120</v>
      </c>
      <c r="E138" s="9" t="n">
        <v>114</v>
      </c>
      <c r="F138" s="10" t="n">
        <v>7.8</v>
      </c>
      <c r="G138" s="10" t="n">
        <v>0.6</v>
      </c>
      <c r="H138" s="10" t="n">
        <v>19.2</v>
      </c>
    </row>
    <row r="139" customFormat="false" ht="15" hidden="false" customHeight="false" outlineLevel="0" collapsed="false">
      <c r="A139" s="8"/>
      <c r="B139" s="5"/>
      <c r="C139" s="5" t="s">
        <v>486</v>
      </c>
      <c r="D139" s="8" t="n">
        <v>320</v>
      </c>
      <c r="E139" s="9" t="n">
        <v>416</v>
      </c>
      <c r="F139" s="10" t="n">
        <v>8.6</v>
      </c>
      <c r="G139" s="10" t="n">
        <v>1</v>
      </c>
      <c r="H139" s="10" t="n">
        <v>90.2</v>
      </c>
    </row>
    <row r="140" customFormat="false" ht="15" hidden="false" customHeight="false" outlineLevel="0" collapsed="false">
      <c r="A140" s="8"/>
      <c r="B140" s="5"/>
      <c r="C140" s="5" t="s">
        <v>508</v>
      </c>
      <c r="D140" s="8" t="n">
        <v>120</v>
      </c>
      <c r="E140" s="9" t="n">
        <v>38</v>
      </c>
      <c r="F140" s="10" t="n">
        <v>1.9</v>
      </c>
      <c r="G140" s="10" t="n">
        <v>0.4</v>
      </c>
      <c r="H140" s="10" t="n">
        <v>8.4</v>
      </c>
    </row>
    <row r="141" customFormat="false" ht="15" hidden="false" customHeight="false" outlineLevel="0" collapsed="false">
      <c r="A141" s="8"/>
      <c r="B141" s="5"/>
      <c r="C141" s="5" t="s">
        <v>554</v>
      </c>
      <c r="D141" s="8" t="n">
        <v>50</v>
      </c>
      <c r="E141" s="9" t="n">
        <v>43</v>
      </c>
      <c r="F141" s="10" t="n">
        <v>1.6</v>
      </c>
      <c r="G141" s="10" t="n">
        <v>0.6</v>
      </c>
      <c r="H141" s="10" t="n">
        <v>9.5</v>
      </c>
    </row>
    <row r="142" customFormat="false" ht="15" hidden="false" customHeight="false" outlineLevel="0" collapsed="false">
      <c r="A142" s="8"/>
      <c r="B142" s="5"/>
      <c r="C142" s="5" t="s">
        <v>492</v>
      </c>
      <c r="D142" s="8" t="n">
        <v>100</v>
      </c>
      <c r="E142" s="9" t="n">
        <v>35</v>
      </c>
      <c r="F142" s="10" t="n">
        <v>0.8</v>
      </c>
      <c r="G142" s="10" t="n">
        <v>0.2</v>
      </c>
      <c r="H142" s="10" t="n">
        <v>8.2</v>
      </c>
    </row>
    <row r="143" customFormat="false" ht="15" hidden="false" customHeight="false" outlineLevel="0" collapsed="false">
      <c r="A143" s="3"/>
      <c r="B143" s="3"/>
      <c r="C143" s="15" t="s">
        <v>493</v>
      </c>
      <c r="D143" s="3"/>
      <c r="E143" s="16" t="n">
        <f aca="false">SUM(E137:E142)</f>
        <v>817</v>
      </c>
      <c r="F143" s="17" t="n">
        <f aca="false">SUM(F137:F142)</f>
        <v>45.4</v>
      </c>
      <c r="G143" s="17" t="n">
        <f aca="false">SUM(G137:G142)</f>
        <v>10.4</v>
      </c>
      <c r="H143" s="17" t="n">
        <f aca="false">SUM(H137:H142)</f>
        <v>135.5</v>
      </c>
    </row>
    <row r="145" customFormat="false" ht="15" hidden="false" customHeight="false" outlineLevel="0" collapsed="false">
      <c r="A145" s="8" t="s">
        <v>661</v>
      </c>
      <c r="B145" s="5" t="s">
        <v>331</v>
      </c>
      <c r="C145" s="5" t="s">
        <v>552</v>
      </c>
      <c r="D145" s="8" t="n">
        <v>110</v>
      </c>
      <c r="E145" s="9" t="n">
        <v>128</v>
      </c>
      <c r="F145" s="10" t="n">
        <v>28.6</v>
      </c>
      <c r="G145" s="10" t="n">
        <v>1.1</v>
      </c>
      <c r="H145" s="10" t="n">
        <v>0</v>
      </c>
    </row>
    <row r="146" customFormat="false" ht="15" hidden="false" customHeight="false" outlineLevel="0" collapsed="false">
      <c r="A146" s="8"/>
      <c r="B146" s="5"/>
      <c r="C146" s="5" t="s">
        <v>495</v>
      </c>
      <c r="D146" s="8" t="n">
        <v>320</v>
      </c>
      <c r="E146" s="9" t="n">
        <v>506</v>
      </c>
      <c r="F146" s="10" t="n">
        <v>18.6</v>
      </c>
      <c r="G146" s="10" t="n">
        <v>2.9</v>
      </c>
      <c r="H146" s="10" t="n">
        <v>98.9</v>
      </c>
    </row>
    <row r="147" customFormat="false" ht="15" hidden="false" customHeight="false" outlineLevel="0" collapsed="false">
      <c r="A147" s="8"/>
      <c r="B147" s="5"/>
      <c r="C147" s="5" t="s">
        <v>554</v>
      </c>
      <c r="D147" s="8" t="n">
        <v>80</v>
      </c>
      <c r="E147" s="9" t="n">
        <v>69</v>
      </c>
      <c r="F147" s="10" t="n">
        <v>2.6</v>
      </c>
      <c r="G147" s="10" t="n">
        <v>1</v>
      </c>
      <c r="H147" s="10" t="n">
        <v>15.2</v>
      </c>
    </row>
    <row r="148" customFormat="false" ht="15" hidden="false" customHeight="false" outlineLevel="0" collapsed="false">
      <c r="A148" s="8"/>
      <c r="B148" s="5"/>
      <c r="C148" s="5" t="s">
        <v>542</v>
      </c>
      <c r="D148" s="8" t="n">
        <v>80</v>
      </c>
      <c r="E148" s="9" t="n">
        <v>12</v>
      </c>
      <c r="F148" s="10" t="n">
        <v>0.6</v>
      </c>
      <c r="G148" s="10" t="n">
        <v>0.1</v>
      </c>
      <c r="H148" s="10" t="n">
        <v>2.9</v>
      </c>
    </row>
    <row r="149" customFormat="false" ht="15" hidden="false" customHeight="false" outlineLevel="0" collapsed="false">
      <c r="A149" s="8"/>
      <c r="B149" s="5"/>
      <c r="C149" s="5" t="s">
        <v>549</v>
      </c>
      <c r="D149" s="8" t="n">
        <v>45</v>
      </c>
      <c r="E149" s="9" t="n">
        <v>43</v>
      </c>
      <c r="F149" s="10" t="n">
        <v>1.4</v>
      </c>
      <c r="G149" s="10" t="n">
        <v>2.7</v>
      </c>
      <c r="H149" s="10" t="n">
        <v>2.7</v>
      </c>
    </row>
    <row r="150" customFormat="false" ht="15" hidden="false" customHeight="false" outlineLevel="0" collapsed="false">
      <c r="A150" s="8"/>
      <c r="B150" s="5"/>
      <c r="C150" s="5" t="s">
        <v>492</v>
      </c>
      <c r="D150" s="8" t="n">
        <v>100</v>
      </c>
      <c r="E150" s="9" t="n">
        <v>35</v>
      </c>
      <c r="F150" s="10" t="n">
        <v>0.8</v>
      </c>
      <c r="G150" s="10" t="n">
        <v>0.2</v>
      </c>
      <c r="H150" s="10" t="n">
        <v>8.2</v>
      </c>
    </row>
    <row r="151" customFormat="false" ht="15" hidden="false" customHeight="false" outlineLevel="0" collapsed="false">
      <c r="A151" s="3"/>
      <c r="B151" s="3"/>
      <c r="C151" s="15" t="s">
        <v>493</v>
      </c>
      <c r="D151" s="3"/>
      <c r="E151" s="16" t="n">
        <f aca="false">SUM(E145:E150)</f>
        <v>793</v>
      </c>
      <c r="F151" s="17" t="n">
        <f aca="false">SUM(F145:F150)</f>
        <v>52.6</v>
      </c>
      <c r="G151" s="17" t="n">
        <f aca="false">SUM(G145:G150)</f>
        <v>8</v>
      </c>
      <c r="H151" s="17" t="n">
        <f aca="false">SUM(H145:H150)</f>
        <v>127.9</v>
      </c>
    </row>
    <row r="153" customFormat="false" ht="15" hidden="false" customHeight="false" outlineLevel="0" collapsed="false">
      <c r="A153" s="8" t="s">
        <v>662</v>
      </c>
      <c r="B153" s="5" t="s">
        <v>336</v>
      </c>
      <c r="C153" s="5" t="s">
        <v>572</v>
      </c>
      <c r="D153" s="8" t="n">
        <v>130</v>
      </c>
      <c r="E153" s="9" t="n">
        <v>186</v>
      </c>
      <c r="F153" s="10" t="n">
        <v>16.4</v>
      </c>
      <c r="G153" s="10" t="n">
        <v>12.3</v>
      </c>
      <c r="H153" s="10" t="n">
        <v>0.9</v>
      </c>
    </row>
    <row r="154" customFormat="false" ht="15" hidden="false" customHeight="false" outlineLevel="0" collapsed="false">
      <c r="A154" s="8"/>
      <c r="B154" s="5"/>
      <c r="C154" s="5" t="s">
        <v>528</v>
      </c>
      <c r="D154" s="8" t="n">
        <v>150</v>
      </c>
      <c r="E154" s="9" t="n">
        <v>458</v>
      </c>
      <c r="F154" s="10" t="n">
        <v>12.8</v>
      </c>
      <c r="G154" s="10" t="n">
        <v>11.2</v>
      </c>
      <c r="H154" s="10" t="n">
        <v>73.5</v>
      </c>
    </row>
    <row r="155" customFormat="false" ht="15" hidden="false" customHeight="false" outlineLevel="0" collapsed="false">
      <c r="A155" s="8"/>
      <c r="B155" s="5"/>
      <c r="C155" s="5" t="s">
        <v>557</v>
      </c>
      <c r="D155" s="8" t="n">
        <v>120</v>
      </c>
      <c r="E155" s="9" t="n">
        <v>28</v>
      </c>
      <c r="F155" s="10" t="n">
        <v>3.6</v>
      </c>
      <c r="G155" s="10" t="n">
        <v>0.4</v>
      </c>
      <c r="H155" s="10" t="n">
        <v>4.6</v>
      </c>
    </row>
    <row r="156" customFormat="false" ht="15" hidden="false" customHeight="false" outlineLevel="0" collapsed="false">
      <c r="A156" s="8"/>
      <c r="B156" s="5"/>
      <c r="C156" s="5" t="s">
        <v>540</v>
      </c>
      <c r="D156" s="8" t="n">
        <v>40</v>
      </c>
      <c r="E156" s="9" t="n">
        <v>132</v>
      </c>
      <c r="F156" s="10" t="n">
        <v>11.2</v>
      </c>
      <c r="G156" s="10" t="n">
        <v>9.2</v>
      </c>
      <c r="H156" s="10" t="n">
        <v>0.4</v>
      </c>
    </row>
    <row r="157" customFormat="false" ht="15" hidden="false" customHeight="false" outlineLevel="0" collapsed="false">
      <c r="A157" s="3"/>
      <c r="B157" s="3"/>
      <c r="C157" s="15" t="s">
        <v>493</v>
      </c>
      <c r="D157" s="3"/>
      <c r="E157" s="16" t="n">
        <f aca="false">SUM(E153:E156)</f>
        <v>804</v>
      </c>
      <c r="F157" s="17" t="n">
        <f aca="false">SUM(F153:F156)</f>
        <v>44</v>
      </c>
      <c r="G157" s="17" t="n">
        <f aca="false">SUM(G153:G156)</f>
        <v>33.1</v>
      </c>
      <c r="H157" s="17" t="n">
        <f aca="false">SUM(H153:H156)</f>
        <v>79.4</v>
      </c>
    </row>
    <row r="159" customFormat="false" ht="15" hidden="false" customHeight="false" outlineLevel="0" collapsed="false">
      <c r="A159" s="8" t="s">
        <v>663</v>
      </c>
      <c r="B159" s="5" t="s">
        <v>341</v>
      </c>
      <c r="C159" s="5" t="s">
        <v>485</v>
      </c>
      <c r="D159" s="8" t="n">
        <v>110</v>
      </c>
      <c r="E159" s="9" t="n">
        <v>182</v>
      </c>
      <c r="F159" s="10" t="n">
        <v>34.1</v>
      </c>
      <c r="G159" s="10" t="n">
        <v>4</v>
      </c>
      <c r="H159" s="10" t="n">
        <v>0</v>
      </c>
    </row>
    <row r="160" customFormat="false" ht="15" hidden="false" customHeight="false" outlineLevel="0" collapsed="false">
      <c r="A160" s="8"/>
      <c r="B160" s="5"/>
      <c r="C160" s="5" t="s">
        <v>512</v>
      </c>
      <c r="D160" s="8" t="n">
        <v>350</v>
      </c>
      <c r="E160" s="9" t="n">
        <v>420</v>
      </c>
      <c r="F160" s="10" t="n">
        <v>15.4</v>
      </c>
      <c r="G160" s="10" t="n">
        <v>6.7</v>
      </c>
      <c r="H160" s="10" t="n">
        <v>74.5</v>
      </c>
    </row>
    <row r="161" customFormat="false" ht="15" hidden="false" customHeight="false" outlineLevel="0" collapsed="false">
      <c r="A161" s="8"/>
      <c r="B161" s="5"/>
      <c r="C161" s="5" t="s">
        <v>513</v>
      </c>
      <c r="D161" s="8" t="n">
        <v>120</v>
      </c>
      <c r="E161" s="9" t="n">
        <v>37</v>
      </c>
      <c r="F161" s="10" t="n">
        <v>1.2</v>
      </c>
      <c r="G161" s="10" t="n">
        <v>0.4</v>
      </c>
      <c r="H161" s="10" t="n">
        <v>7.2</v>
      </c>
    </row>
    <row r="162" customFormat="false" ht="15" hidden="false" customHeight="false" outlineLevel="0" collapsed="false">
      <c r="A162" s="8"/>
      <c r="B162" s="5"/>
      <c r="C162" s="5" t="s">
        <v>542</v>
      </c>
      <c r="D162" s="8" t="n">
        <v>80</v>
      </c>
      <c r="E162" s="9" t="n">
        <v>12</v>
      </c>
      <c r="F162" s="10" t="n">
        <v>0.6</v>
      </c>
      <c r="G162" s="10" t="n">
        <v>0.1</v>
      </c>
      <c r="H162" s="10" t="n">
        <v>2.9</v>
      </c>
    </row>
    <row r="163" customFormat="false" ht="15" hidden="false" customHeight="false" outlineLevel="0" collapsed="false">
      <c r="A163" s="8"/>
      <c r="B163" s="5"/>
      <c r="C163" s="5" t="s">
        <v>489</v>
      </c>
      <c r="D163" s="8" t="n">
        <v>12</v>
      </c>
      <c r="E163" s="9" t="n">
        <v>106</v>
      </c>
      <c r="F163" s="10" t="n">
        <v>0</v>
      </c>
      <c r="G163" s="10" t="n">
        <v>12</v>
      </c>
      <c r="H163" s="10" t="n">
        <v>0</v>
      </c>
    </row>
    <row r="164" customFormat="false" ht="15" hidden="false" customHeight="false" outlineLevel="0" collapsed="false">
      <c r="A164" s="8"/>
      <c r="B164" s="5"/>
      <c r="C164" s="5" t="s">
        <v>514</v>
      </c>
      <c r="D164" s="8" t="n">
        <v>10</v>
      </c>
      <c r="E164" s="9" t="n">
        <v>2</v>
      </c>
      <c r="F164" s="10" t="n">
        <v>0</v>
      </c>
      <c r="G164" s="10" t="n">
        <v>0</v>
      </c>
      <c r="H164" s="10" t="n">
        <v>0.7</v>
      </c>
    </row>
    <row r="165" customFormat="false" ht="15" hidden="false" customHeight="false" outlineLevel="0" collapsed="false">
      <c r="A165" s="8"/>
      <c r="B165" s="5"/>
      <c r="C165" s="5" t="s">
        <v>492</v>
      </c>
      <c r="D165" s="8" t="n">
        <v>100</v>
      </c>
      <c r="E165" s="9" t="n">
        <v>35</v>
      </c>
      <c r="F165" s="10" t="n">
        <v>0.8</v>
      </c>
      <c r="G165" s="10" t="n">
        <v>0.2</v>
      </c>
      <c r="H165" s="10" t="n">
        <v>8.2</v>
      </c>
    </row>
    <row r="166" customFormat="false" ht="15" hidden="false" customHeight="false" outlineLevel="0" collapsed="false">
      <c r="A166" s="3"/>
      <c r="B166" s="3"/>
      <c r="C166" s="15" t="s">
        <v>493</v>
      </c>
      <c r="D166" s="3"/>
      <c r="E166" s="16" t="n">
        <f aca="false">SUM(E159:E165)</f>
        <v>794</v>
      </c>
      <c r="F166" s="17" t="n">
        <f aca="false">SUM(F159:F165)</f>
        <v>52.1</v>
      </c>
      <c r="G166" s="17" t="n">
        <f aca="false">SUM(G159:G165)</f>
        <v>23.4</v>
      </c>
      <c r="H166" s="17" t="n">
        <f aca="false">SUM(H159:H165)</f>
        <v>93.5</v>
      </c>
    </row>
    <row r="168" customFormat="false" ht="15" hidden="false" customHeight="false" outlineLevel="0" collapsed="false">
      <c r="A168" s="8" t="s">
        <v>664</v>
      </c>
      <c r="B168" s="5" t="s">
        <v>346</v>
      </c>
      <c r="C168" s="5" t="s">
        <v>573</v>
      </c>
      <c r="D168" s="8" t="n">
        <v>200</v>
      </c>
      <c r="E168" s="9" t="n">
        <v>494</v>
      </c>
      <c r="F168" s="10" t="n">
        <v>19</v>
      </c>
      <c r="G168" s="10" t="n">
        <v>7</v>
      </c>
      <c r="H168" s="10" t="n">
        <v>78</v>
      </c>
    </row>
    <row r="169" customFormat="false" ht="15" hidden="false" customHeight="false" outlineLevel="0" collapsed="false">
      <c r="A169" s="8"/>
      <c r="B169" s="5"/>
      <c r="C169" s="5" t="s">
        <v>572</v>
      </c>
      <c r="D169" s="8" t="n">
        <v>85</v>
      </c>
      <c r="E169" s="9" t="n">
        <v>122</v>
      </c>
      <c r="F169" s="10" t="n">
        <v>10.7</v>
      </c>
      <c r="G169" s="10" t="n">
        <v>8.1</v>
      </c>
      <c r="H169" s="10" t="n">
        <v>0.6</v>
      </c>
    </row>
    <row r="170" customFormat="false" ht="15" hidden="false" customHeight="false" outlineLevel="0" collapsed="false">
      <c r="A170" s="8"/>
      <c r="B170" s="5"/>
      <c r="C170" s="5" t="s">
        <v>626</v>
      </c>
      <c r="D170" s="8" t="n">
        <v>35</v>
      </c>
      <c r="E170" s="9" t="n">
        <v>68</v>
      </c>
      <c r="F170" s="10" t="n">
        <v>9.8</v>
      </c>
      <c r="G170" s="10" t="n">
        <v>3.1</v>
      </c>
      <c r="H170" s="10" t="n">
        <v>0.2</v>
      </c>
    </row>
    <row r="171" customFormat="false" ht="15" hidden="false" customHeight="false" outlineLevel="0" collapsed="false">
      <c r="A171" s="8"/>
      <c r="B171" s="5"/>
      <c r="C171" s="5" t="s">
        <v>540</v>
      </c>
      <c r="D171" s="8" t="n">
        <v>30</v>
      </c>
      <c r="E171" s="9" t="n">
        <v>99</v>
      </c>
      <c r="F171" s="10" t="n">
        <v>8.4</v>
      </c>
      <c r="G171" s="10" t="n">
        <v>6.9</v>
      </c>
      <c r="H171" s="10" t="n">
        <v>0.3</v>
      </c>
    </row>
    <row r="172" customFormat="false" ht="15" hidden="false" customHeight="false" outlineLevel="0" collapsed="false">
      <c r="A172" s="8"/>
      <c r="B172" s="5"/>
      <c r="C172" s="5" t="s">
        <v>536</v>
      </c>
      <c r="D172" s="8" t="n">
        <v>40</v>
      </c>
      <c r="E172" s="9" t="n">
        <v>6</v>
      </c>
      <c r="F172" s="10" t="n">
        <v>0.4</v>
      </c>
      <c r="G172" s="10" t="n">
        <v>0.1</v>
      </c>
      <c r="H172" s="10" t="n">
        <v>0.8</v>
      </c>
    </row>
    <row r="173" customFormat="false" ht="15" hidden="false" customHeight="false" outlineLevel="0" collapsed="false">
      <c r="A173" s="8"/>
      <c r="B173" s="5"/>
      <c r="C173" s="5" t="s">
        <v>537</v>
      </c>
      <c r="D173" s="8" t="n">
        <v>70</v>
      </c>
      <c r="E173" s="9" t="n">
        <v>13</v>
      </c>
      <c r="F173" s="10" t="n">
        <v>0.6</v>
      </c>
      <c r="G173" s="10" t="n">
        <v>0.1</v>
      </c>
      <c r="H173" s="10" t="n">
        <v>2.7</v>
      </c>
    </row>
    <row r="174" customFormat="false" ht="15" hidden="false" customHeight="false" outlineLevel="0" collapsed="false">
      <c r="A174" s="8"/>
      <c r="B174" s="5"/>
      <c r="C174" s="5" t="s">
        <v>492</v>
      </c>
      <c r="D174" s="8" t="n">
        <v>100</v>
      </c>
      <c r="E174" s="9" t="n">
        <v>35</v>
      </c>
      <c r="F174" s="10" t="n">
        <v>0.8</v>
      </c>
      <c r="G174" s="10" t="n">
        <v>0.2</v>
      </c>
      <c r="H174" s="10" t="n">
        <v>8.2</v>
      </c>
    </row>
    <row r="175" customFormat="false" ht="15" hidden="false" customHeight="false" outlineLevel="0" collapsed="false">
      <c r="A175" s="3"/>
      <c r="B175" s="3"/>
      <c r="C175" s="15" t="s">
        <v>493</v>
      </c>
      <c r="D175" s="3"/>
      <c r="E175" s="16" t="n">
        <f aca="false">SUM(E168:E174)</f>
        <v>837</v>
      </c>
      <c r="F175" s="17" t="n">
        <f aca="false">SUM(F168:F174)</f>
        <v>49.7</v>
      </c>
      <c r="G175" s="17" t="n">
        <f aca="false">SUM(G168:G174)</f>
        <v>25.5</v>
      </c>
      <c r="H175" s="17" t="n">
        <f aca="false">SUM(H168:H174)</f>
        <v>90.8</v>
      </c>
    </row>
    <row r="177" customFormat="false" ht="15" hidden="false" customHeight="false" outlineLevel="0" collapsed="false">
      <c r="A177" s="8" t="s">
        <v>665</v>
      </c>
      <c r="B177" s="5" t="s">
        <v>351</v>
      </c>
      <c r="C177" s="5" t="s">
        <v>666</v>
      </c>
      <c r="D177" s="8" t="n">
        <v>280</v>
      </c>
      <c r="E177" s="9" t="n">
        <v>325</v>
      </c>
      <c r="F177" s="10" t="n">
        <v>25.2</v>
      </c>
      <c r="G177" s="10" t="n">
        <v>1.1</v>
      </c>
      <c r="H177" s="10" t="n">
        <v>56.3</v>
      </c>
    </row>
    <row r="178" customFormat="false" ht="15" hidden="false" customHeight="false" outlineLevel="0" collapsed="false">
      <c r="A178" s="8"/>
      <c r="B178" s="5"/>
      <c r="C178" s="5" t="s">
        <v>574</v>
      </c>
      <c r="D178" s="8" t="n">
        <v>60</v>
      </c>
      <c r="E178" s="9" t="n">
        <v>158</v>
      </c>
      <c r="F178" s="10" t="n">
        <v>8.5</v>
      </c>
      <c r="G178" s="10" t="n">
        <v>12.8</v>
      </c>
      <c r="H178" s="10" t="n">
        <v>2.5</v>
      </c>
    </row>
    <row r="179" customFormat="false" ht="15" hidden="false" customHeight="false" outlineLevel="0" collapsed="false">
      <c r="A179" s="8"/>
      <c r="B179" s="5"/>
      <c r="C179" s="5" t="s">
        <v>592</v>
      </c>
      <c r="D179" s="8" t="n">
        <v>70</v>
      </c>
      <c r="E179" s="9" t="n">
        <v>58</v>
      </c>
      <c r="F179" s="10" t="n">
        <v>1.2</v>
      </c>
      <c r="G179" s="10" t="n">
        <v>0.8</v>
      </c>
      <c r="H179" s="10" t="n">
        <v>13.1</v>
      </c>
    </row>
    <row r="180" customFormat="false" ht="15" hidden="false" customHeight="false" outlineLevel="0" collapsed="false">
      <c r="A180" s="8"/>
      <c r="B180" s="5"/>
      <c r="C180" s="5" t="s">
        <v>557</v>
      </c>
      <c r="D180" s="8" t="n">
        <v>80</v>
      </c>
      <c r="E180" s="9" t="n">
        <v>18</v>
      </c>
      <c r="F180" s="10" t="n">
        <v>2.4</v>
      </c>
      <c r="G180" s="10" t="n">
        <v>0.2</v>
      </c>
      <c r="H180" s="10" t="n">
        <v>3</v>
      </c>
    </row>
    <row r="181" customFormat="false" ht="15" hidden="false" customHeight="false" outlineLevel="0" collapsed="false">
      <c r="A181" s="8"/>
      <c r="B181" s="5"/>
      <c r="C181" s="5" t="s">
        <v>489</v>
      </c>
      <c r="D181" s="8" t="n">
        <v>12</v>
      </c>
      <c r="E181" s="9" t="n">
        <v>106</v>
      </c>
      <c r="F181" s="10" t="n">
        <v>0</v>
      </c>
      <c r="G181" s="10" t="n">
        <v>12</v>
      </c>
      <c r="H181" s="10" t="n">
        <v>0</v>
      </c>
    </row>
    <row r="182" customFormat="false" ht="15" hidden="false" customHeight="false" outlineLevel="0" collapsed="false">
      <c r="A182" s="8"/>
      <c r="B182" s="5"/>
      <c r="C182" s="5" t="s">
        <v>573</v>
      </c>
      <c r="D182" s="8" t="n">
        <v>100</v>
      </c>
      <c r="E182" s="9" t="n">
        <v>247</v>
      </c>
      <c r="F182" s="10" t="n">
        <v>9.5</v>
      </c>
      <c r="G182" s="10" t="n">
        <v>3.5</v>
      </c>
      <c r="H182" s="10" t="n">
        <v>39</v>
      </c>
    </row>
    <row r="183" customFormat="false" ht="15" hidden="false" customHeight="false" outlineLevel="0" collapsed="false">
      <c r="A183" s="3"/>
      <c r="B183" s="3"/>
      <c r="C183" s="15" t="s">
        <v>493</v>
      </c>
      <c r="D183" s="3"/>
      <c r="E183" s="16" t="n">
        <f aca="false">SUM(E177:E182)</f>
        <v>912</v>
      </c>
      <c r="F183" s="17" t="n">
        <f aca="false">SUM(F177:F182)</f>
        <v>46.8</v>
      </c>
      <c r="G183" s="17" t="n">
        <f aca="false">SUM(G177:G182)</f>
        <v>30.4</v>
      </c>
      <c r="H183" s="17" t="n">
        <f aca="false">SUM(H177:H182)</f>
        <v>113.9</v>
      </c>
    </row>
    <row r="185" customFormat="false" ht="15" hidden="false" customHeight="false" outlineLevel="0" collapsed="false">
      <c r="A185" s="8" t="s">
        <v>667</v>
      </c>
      <c r="B185" s="5" t="s">
        <v>356</v>
      </c>
      <c r="C185" s="5" t="s">
        <v>634</v>
      </c>
      <c r="D185" s="8" t="n">
        <v>250</v>
      </c>
      <c r="E185" s="9" t="n">
        <v>142</v>
      </c>
      <c r="F185" s="10" t="n">
        <v>25</v>
      </c>
      <c r="G185" s="10" t="n">
        <v>0.5</v>
      </c>
      <c r="H185" s="10" t="n">
        <v>8.8</v>
      </c>
    </row>
    <row r="186" customFormat="false" ht="15" hidden="false" customHeight="false" outlineLevel="0" collapsed="false">
      <c r="A186" s="8"/>
      <c r="B186" s="5"/>
      <c r="C186" s="5" t="s">
        <v>639</v>
      </c>
      <c r="D186" s="8" t="n">
        <v>90</v>
      </c>
      <c r="E186" s="9" t="n">
        <v>342</v>
      </c>
      <c r="F186" s="10" t="n">
        <v>9</v>
      </c>
      <c r="G186" s="10" t="n">
        <v>6.3</v>
      </c>
      <c r="H186" s="10" t="n">
        <v>58.5</v>
      </c>
    </row>
    <row r="187" customFormat="false" ht="15" hidden="false" customHeight="false" outlineLevel="0" collapsed="false">
      <c r="A187" s="8"/>
      <c r="B187" s="5"/>
      <c r="C187" s="5" t="s">
        <v>668</v>
      </c>
      <c r="D187" s="8" t="n">
        <v>150</v>
      </c>
      <c r="E187" s="9" t="n">
        <v>78</v>
      </c>
      <c r="F187" s="10" t="n">
        <v>0.5</v>
      </c>
      <c r="G187" s="10" t="n">
        <v>0.3</v>
      </c>
      <c r="H187" s="10" t="n">
        <v>20.7</v>
      </c>
    </row>
    <row r="188" customFormat="false" ht="15" hidden="false" customHeight="false" outlineLevel="0" collapsed="false">
      <c r="A188" s="8"/>
      <c r="B188" s="5"/>
      <c r="C188" s="5" t="s">
        <v>669</v>
      </c>
      <c r="D188" s="8" t="n">
        <v>25</v>
      </c>
      <c r="E188" s="9" t="n">
        <v>145</v>
      </c>
      <c r="F188" s="10" t="n">
        <v>5.3</v>
      </c>
      <c r="G188" s="10" t="n">
        <v>12.5</v>
      </c>
      <c r="H188" s="10" t="n">
        <v>5.4</v>
      </c>
    </row>
    <row r="189" customFormat="false" ht="15" hidden="false" customHeight="false" outlineLevel="0" collapsed="false">
      <c r="A189" s="8"/>
      <c r="B189" s="5"/>
      <c r="C189" s="5" t="s">
        <v>488</v>
      </c>
      <c r="D189" s="8" t="n">
        <v>15</v>
      </c>
      <c r="E189" s="9" t="n">
        <v>46</v>
      </c>
      <c r="F189" s="10" t="n">
        <v>0</v>
      </c>
      <c r="G189" s="10" t="n">
        <v>0</v>
      </c>
      <c r="H189" s="10" t="n">
        <v>12.4</v>
      </c>
    </row>
    <row r="190" customFormat="false" ht="15" hidden="false" customHeight="false" outlineLevel="0" collapsed="false">
      <c r="A190" s="8"/>
      <c r="B190" s="5"/>
      <c r="C190" s="5" t="s">
        <v>492</v>
      </c>
      <c r="D190" s="8" t="n">
        <v>100</v>
      </c>
      <c r="E190" s="9" t="n">
        <v>35</v>
      </c>
      <c r="F190" s="10" t="n">
        <v>0.8</v>
      </c>
      <c r="G190" s="10" t="n">
        <v>0.2</v>
      </c>
      <c r="H190" s="10" t="n">
        <v>8.2</v>
      </c>
    </row>
    <row r="191" customFormat="false" ht="15" hidden="false" customHeight="false" outlineLevel="0" collapsed="false">
      <c r="A191" s="3"/>
      <c r="B191" s="3"/>
      <c r="C191" s="15" t="s">
        <v>493</v>
      </c>
      <c r="D191" s="3"/>
      <c r="E191" s="16" t="n">
        <f aca="false">SUM(E185:E190)</f>
        <v>788</v>
      </c>
      <c r="F191" s="17" t="n">
        <f aca="false">SUM(F185:F190)</f>
        <v>40.6</v>
      </c>
      <c r="G191" s="17" t="n">
        <f aca="false">SUM(G185:G190)</f>
        <v>19.8</v>
      </c>
      <c r="H191" s="17" t="n">
        <f aca="false">SUM(H185:H190)</f>
        <v>114</v>
      </c>
    </row>
    <row r="193" customFormat="false" ht="15" hidden="false" customHeight="false" outlineLevel="0" collapsed="false">
      <c r="A193" s="8" t="s">
        <v>670</v>
      </c>
      <c r="B193" s="5" t="s">
        <v>361</v>
      </c>
      <c r="C193" s="5" t="s">
        <v>485</v>
      </c>
      <c r="D193" s="8" t="n">
        <v>100</v>
      </c>
      <c r="E193" s="9" t="n">
        <v>165</v>
      </c>
      <c r="F193" s="10" t="n">
        <v>31</v>
      </c>
      <c r="G193" s="10" t="n">
        <v>3.6</v>
      </c>
      <c r="H193" s="10" t="n">
        <v>0</v>
      </c>
    </row>
    <row r="194" customFormat="false" ht="15" hidden="false" customHeight="false" outlineLevel="0" collapsed="false">
      <c r="A194" s="8"/>
      <c r="B194" s="5"/>
      <c r="C194" s="5" t="s">
        <v>486</v>
      </c>
      <c r="D194" s="8" t="n">
        <v>330</v>
      </c>
      <c r="E194" s="9" t="n">
        <v>429</v>
      </c>
      <c r="F194" s="10" t="n">
        <v>8.9</v>
      </c>
      <c r="G194" s="10" t="n">
        <v>1</v>
      </c>
      <c r="H194" s="10" t="n">
        <v>93.1</v>
      </c>
    </row>
    <row r="195" customFormat="false" ht="15" hidden="false" customHeight="false" outlineLevel="0" collapsed="false">
      <c r="A195" s="8"/>
      <c r="B195" s="5"/>
      <c r="C195" s="5" t="s">
        <v>526</v>
      </c>
      <c r="D195" s="8" t="n">
        <v>150</v>
      </c>
      <c r="E195" s="9" t="n">
        <v>60</v>
      </c>
      <c r="F195" s="10" t="n">
        <v>3</v>
      </c>
      <c r="G195" s="10" t="n">
        <v>0.8</v>
      </c>
      <c r="H195" s="10" t="n">
        <v>9.8</v>
      </c>
    </row>
    <row r="196" customFormat="false" ht="15" hidden="false" customHeight="false" outlineLevel="0" collapsed="false">
      <c r="A196" s="8"/>
      <c r="B196" s="5"/>
      <c r="C196" s="5" t="s">
        <v>509</v>
      </c>
      <c r="D196" s="8" t="n">
        <v>45</v>
      </c>
      <c r="E196" s="9" t="n">
        <v>89</v>
      </c>
      <c r="F196" s="10" t="n">
        <v>0.9</v>
      </c>
      <c r="G196" s="10" t="n">
        <v>9.4</v>
      </c>
      <c r="H196" s="10" t="n">
        <v>1.3</v>
      </c>
    </row>
    <row r="197" customFormat="false" ht="15" hidden="false" customHeight="false" outlineLevel="0" collapsed="false">
      <c r="A197" s="8"/>
      <c r="B197" s="5"/>
      <c r="C197" s="5" t="s">
        <v>510</v>
      </c>
      <c r="D197" s="8" t="n">
        <v>20</v>
      </c>
      <c r="E197" s="9" t="n">
        <v>30</v>
      </c>
      <c r="F197" s="10" t="n">
        <v>0.6</v>
      </c>
      <c r="G197" s="10" t="n">
        <v>1.6</v>
      </c>
      <c r="H197" s="10" t="n">
        <v>3</v>
      </c>
    </row>
    <row r="198" customFormat="false" ht="15" hidden="false" customHeight="false" outlineLevel="0" collapsed="false">
      <c r="A198" s="3"/>
      <c r="B198" s="3"/>
      <c r="C198" s="15" t="s">
        <v>493</v>
      </c>
      <c r="D198" s="3"/>
      <c r="E198" s="16" t="n">
        <f aca="false">SUM(E193:E197)</f>
        <v>773</v>
      </c>
      <c r="F198" s="17" t="n">
        <f aca="false">SUM(F193:F197)</f>
        <v>44.4</v>
      </c>
      <c r="G198" s="17" t="n">
        <f aca="false">SUM(G193:G197)</f>
        <v>16.4</v>
      </c>
      <c r="H198" s="17" t="n">
        <f aca="false">SUM(H193:H197)</f>
        <v>107.2</v>
      </c>
    </row>
    <row r="200" customFormat="false" ht="15" hidden="false" customHeight="false" outlineLevel="0" collapsed="false">
      <c r="A200" s="8" t="s">
        <v>671</v>
      </c>
      <c r="B200" s="5" t="s">
        <v>366</v>
      </c>
      <c r="C200" s="5" t="s">
        <v>556</v>
      </c>
      <c r="D200" s="8" t="n">
        <v>120</v>
      </c>
      <c r="E200" s="9" t="n">
        <v>119</v>
      </c>
      <c r="F200" s="10" t="n">
        <v>28.8</v>
      </c>
      <c r="G200" s="10" t="n">
        <v>0.4</v>
      </c>
      <c r="H200" s="10" t="n">
        <v>0.2</v>
      </c>
    </row>
    <row r="201" customFormat="false" ht="15" hidden="false" customHeight="false" outlineLevel="0" collapsed="false">
      <c r="A201" s="8"/>
      <c r="B201" s="5"/>
      <c r="C201" s="5" t="s">
        <v>512</v>
      </c>
      <c r="D201" s="8" t="n">
        <v>330</v>
      </c>
      <c r="E201" s="9" t="n">
        <v>396</v>
      </c>
      <c r="F201" s="10" t="n">
        <v>14.5</v>
      </c>
      <c r="G201" s="10" t="n">
        <v>6.3</v>
      </c>
      <c r="H201" s="10" t="n">
        <v>70.3</v>
      </c>
    </row>
    <row r="202" customFormat="false" ht="15" hidden="false" customHeight="false" outlineLevel="0" collapsed="false">
      <c r="A202" s="8"/>
      <c r="B202" s="5"/>
      <c r="C202" s="5" t="s">
        <v>561</v>
      </c>
      <c r="D202" s="8" t="n">
        <v>80</v>
      </c>
      <c r="E202" s="9" t="n">
        <v>128</v>
      </c>
      <c r="F202" s="10" t="n">
        <v>1.6</v>
      </c>
      <c r="G202" s="10" t="n">
        <v>11.8</v>
      </c>
      <c r="H202" s="10" t="n">
        <v>6.8</v>
      </c>
    </row>
    <row r="203" customFormat="false" ht="15" hidden="false" customHeight="false" outlineLevel="0" collapsed="false">
      <c r="A203" s="8"/>
      <c r="B203" s="5"/>
      <c r="C203" s="5" t="s">
        <v>542</v>
      </c>
      <c r="D203" s="8" t="n">
        <v>90</v>
      </c>
      <c r="E203" s="9" t="n">
        <v>14</v>
      </c>
      <c r="F203" s="10" t="n">
        <v>0.6</v>
      </c>
      <c r="G203" s="10" t="n">
        <v>0.1</v>
      </c>
      <c r="H203" s="10" t="n">
        <v>3.2</v>
      </c>
    </row>
    <row r="204" customFormat="false" ht="15" hidden="false" customHeight="false" outlineLevel="0" collapsed="false">
      <c r="A204" s="8"/>
      <c r="B204" s="5"/>
      <c r="C204" s="5" t="s">
        <v>514</v>
      </c>
      <c r="D204" s="8" t="n">
        <v>10</v>
      </c>
      <c r="E204" s="9" t="n">
        <v>2</v>
      </c>
      <c r="F204" s="10" t="n">
        <v>0</v>
      </c>
      <c r="G204" s="10" t="n">
        <v>0</v>
      </c>
      <c r="H204" s="10" t="n">
        <v>0.7</v>
      </c>
    </row>
    <row r="205" customFormat="false" ht="15" hidden="false" customHeight="false" outlineLevel="0" collapsed="false">
      <c r="A205" s="8"/>
      <c r="B205" s="5"/>
      <c r="C205" s="5" t="s">
        <v>492</v>
      </c>
      <c r="D205" s="8" t="n">
        <v>100</v>
      </c>
      <c r="E205" s="9" t="n">
        <v>35</v>
      </c>
      <c r="F205" s="10" t="n">
        <v>0.8</v>
      </c>
      <c r="G205" s="10" t="n">
        <v>0.2</v>
      </c>
      <c r="H205" s="10" t="n">
        <v>8.2</v>
      </c>
    </row>
    <row r="206" customFormat="false" ht="15" hidden="false" customHeight="false" outlineLevel="0" collapsed="false">
      <c r="A206" s="3"/>
      <c r="B206" s="3"/>
      <c r="C206" s="15" t="s">
        <v>493</v>
      </c>
      <c r="D206" s="3"/>
      <c r="E206" s="16" t="n">
        <f aca="false">SUM(E200:E205)</f>
        <v>694</v>
      </c>
      <c r="F206" s="17" t="n">
        <f aca="false">SUM(F200:F205)</f>
        <v>46.3</v>
      </c>
      <c r="G206" s="17" t="n">
        <f aca="false">SUM(G200:G205)</f>
        <v>18.8</v>
      </c>
      <c r="H206" s="17" t="n">
        <f aca="false">SUM(H200:H205)</f>
        <v>89.4</v>
      </c>
    </row>
    <row r="208" customFormat="false" ht="15" hidden="false" customHeight="false" outlineLevel="0" collapsed="false">
      <c r="A208" s="8" t="s">
        <v>672</v>
      </c>
      <c r="B208" s="5" t="s">
        <v>371</v>
      </c>
      <c r="C208" s="5" t="s">
        <v>573</v>
      </c>
      <c r="D208" s="8" t="n">
        <v>200</v>
      </c>
      <c r="E208" s="9" t="n">
        <v>494</v>
      </c>
      <c r="F208" s="10" t="n">
        <v>19</v>
      </c>
      <c r="G208" s="10" t="n">
        <v>7</v>
      </c>
      <c r="H208" s="10" t="n">
        <v>78</v>
      </c>
    </row>
    <row r="209" customFormat="false" ht="15" hidden="false" customHeight="false" outlineLevel="0" collapsed="false">
      <c r="A209" s="8"/>
      <c r="B209" s="5"/>
      <c r="C209" s="5" t="s">
        <v>607</v>
      </c>
      <c r="D209" s="8" t="n">
        <v>40</v>
      </c>
      <c r="E209" s="9" t="n">
        <v>235</v>
      </c>
      <c r="F209" s="10" t="n">
        <v>10</v>
      </c>
      <c r="G209" s="10" t="n">
        <v>19.6</v>
      </c>
      <c r="H209" s="10" t="n">
        <v>6</v>
      </c>
    </row>
    <row r="210" customFormat="false" ht="15" hidden="false" customHeight="false" outlineLevel="0" collapsed="false">
      <c r="A210" s="8"/>
      <c r="B210" s="5"/>
      <c r="C210" s="5" t="s">
        <v>641</v>
      </c>
      <c r="D210" s="8" t="n">
        <v>130</v>
      </c>
      <c r="E210" s="9" t="n">
        <v>116</v>
      </c>
      <c r="F210" s="10" t="n">
        <v>1.4</v>
      </c>
      <c r="G210" s="10" t="n">
        <v>0.4</v>
      </c>
      <c r="H210" s="10" t="n">
        <v>29.6</v>
      </c>
    </row>
    <row r="211" customFormat="false" ht="15" hidden="false" customHeight="false" outlineLevel="0" collapsed="false">
      <c r="A211" s="8"/>
      <c r="B211" s="5"/>
      <c r="C211" s="5" t="s">
        <v>634</v>
      </c>
      <c r="D211" s="8" t="n">
        <v>145</v>
      </c>
      <c r="E211" s="9" t="n">
        <v>83</v>
      </c>
      <c r="F211" s="10" t="n">
        <v>14.5</v>
      </c>
      <c r="G211" s="10" t="n">
        <v>0.3</v>
      </c>
      <c r="H211" s="10" t="n">
        <v>5.1</v>
      </c>
    </row>
    <row r="212" customFormat="false" ht="15" hidden="false" customHeight="false" outlineLevel="0" collapsed="false">
      <c r="A212" s="8"/>
      <c r="B212" s="5"/>
      <c r="C212" s="5" t="s">
        <v>488</v>
      </c>
      <c r="D212" s="8" t="n">
        <v>15</v>
      </c>
      <c r="E212" s="9" t="n">
        <v>46</v>
      </c>
      <c r="F212" s="10" t="n">
        <v>0</v>
      </c>
      <c r="G212" s="10" t="n">
        <v>0</v>
      </c>
      <c r="H212" s="10" t="n">
        <v>12.4</v>
      </c>
    </row>
    <row r="213" customFormat="false" ht="15" hidden="false" customHeight="false" outlineLevel="0" collapsed="false">
      <c r="A213" s="8"/>
      <c r="B213" s="5"/>
      <c r="C213" s="5" t="s">
        <v>492</v>
      </c>
      <c r="D213" s="8" t="n">
        <v>100</v>
      </c>
      <c r="E213" s="9" t="n">
        <v>35</v>
      </c>
      <c r="F213" s="10" t="n">
        <v>0.8</v>
      </c>
      <c r="G213" s="10" t="n">
        <v>0.2</v>
      </c>
      <c r="H213" s="10" t="n">
        <v>8.2</v>
      </c>
    </row>
    <row r="214" customFormat="false" ht="15" hidden="false" customHeight="false" outlineLevel="0" collapsed="false">
      <c r="A214" s="3"/>
      <c r="B214" s="3"/>
      <c r="C214" s="15" t="s">
        <v>493</v>
      </c>
      <c r="D214" s="3"/>
      <c r="E214" s="16" t="n">
        <f aca="false">SUM(E208:E213)</f>
        <v>1009</v>
      </c>
      <c r="F214" s="17" t="n">
        <f aca="false">SUM(F208:F213)</f>
        <v>45.7</v>
      </c>
      <c r="G214" s="17" t="n">
        <f aca="false">SUM(G208:G213)</f>
        <v>27.5</v>
      </c>
      <c r="H214" s="17" t="n">
        <f aca="false">SUM(H208:H213)</f>
        <v>139.3</v>
      </c>
    </row>
    <row r="216" customFormat="false" ht="15" hidden="false" customHeight="false" outlineLevel="0" collapsed="false">
      <c r="A216" s="8" t="s">
        <v>673</v>
      </c>
      <c r="B216" s="5" t="s">
        <v>376</v>
      </c>
      <c r="C216" s="5" t="s">
        <v>495</v>
      </c>
      <c r="D216" s="8" t="n">
        <v>330</v>
      </c>
      <c r="E216" s="9" t="n">
        <v>521</v>
      </c>
      <c r="F216" s="10" t="n">
        <v>19.1</v>
      </c>
      <c r="G216" s="10" t="n">
        <v>3</v>
      </c>
      <c r="H216" s="10" t="n">
        <v>102</v>
      </c>
    </row>
    <row r="217" customFormat="false" ht="15" hidden="false" customHeight="false" outlineLevel="0" collapsed="false">
      <c r="A217" s="8"/>
      <c r="B217" s="5"/>
      <c r="C217" s="5" t="s">
        <v>496</v>
      </c>
      <c r="D217" s="8" t="n">
        <v>95</v>
      </c>
      <c r="E217" s="9" t="n">
        <v>171</v>
      </c>
      <c r="F217" s="10" t="n">
        <v>24.7</v>
      </c>
      <c r="G217" s="10" t="n">
        <v>7.6</v>
      </c>
      <c r="H217" s="10" t="n">
        <v>0</v>
      </c>
    </row>
    <row r="218" customFormat="false" ht="15" hidden="false" customHeight="false" outlineLevel="0" collapsed="false">
      <c r="A218" s="8"/>
      <c r="B218" s="5"/>
      <c r="C218" s="5" t="s">
        <v>498</v>
      </c>
      <c r="D218" s="8" t="n">
        <v>120</v>
      </c>
      <c r="E218" s="9" t="n">
        <v>98</v>
      </c>
      <c r="F218" s="10" t="n">
        <v>5.2</v>
      </c>
      <c r="G218" s="10" t="n">
        <v>0.6</v>
      </c>
      <c r="H218" s="10" t="n">
        <v>22.7</v>
      </c>
    </row>
    <row r="219" customFormat="false" ht="15" hidden="false" customHeight="false" outlineLevel="0" collapsed="false">
      <c r="A219" s="8"/>
      <c r="B219" s="5"/>
      <c r="C219" s="5" t="s">
        <v>500</v>
      </c>
      <c r="D219" s="8" t="n">
        <v>20</v>
      </c>
      <c r="E219" s="9" t="n">
        <v>78</v>
      </c>
      <c r="F219" s="10" t="n">
        <v>7.2</v>
      </c>
      <c r="G219" s="10" t="n">
        <v>5.2</v>
      </c>
      <c r="H219" s="10" t="n">
        <v>0.6</v>
      </c>
    </row>
    <row r="220" customFormat="false" ht="15" hidden="false" customHeight="false" outlineLevel="0" collapsed="false">
      <c r="A220" s="8"/>
      <c r="B220" s="5"/>
      <c r="C220" s="5" t="s">
        <v>492</v>
      </c>
      <c r="D220" s="8" t="n">
        <v>100</v>
      </c>
      <c r="E220" s="9" t="n">
        <v>35</v>
      </c>
      <c r="F220" s="10" t="n">
        <v>0.8</v>
      </c>
      <c r="G220" s="10" t="n">
        <v>0.2</v>
      </c>
      <c r="H220" s="10" t="n">
        <v>8.2</v>
      </c>
    </row>
    <row r="221" customFormat="false" ht="15" hidden="false" customHeight="false" outlineLevel="0" collapsed="false">
      <c r="A221" s="3"/>
      <c r="B221" s="3"/>
      <c r="C221" s="15" t="s">
        <v>493</v>
      </c>
      <c r="D221" s="3"/>
      <c r="E221" s="16" t="n">
        <f aca="false">SUM(E216:E220)</f>
        <v>903</v>
      </c>
      <c r="F221" s="17" t="n">
        <f aca="false">SUM(F216:F220)</f>
        <v>57</v>
      </c>
      <c r="G221" s="17" t="n">
        <f aca="false">SUM(G216:G220)</f>
        <v>16.6</v>
      </c>
      <c r="H221" s="17" t="n">
        <f aca="false">SUM(H216:H220)</f>
        <v>133.5</v>
      </c>
    </row>
    <row r="223" customFormat="false" ht="15" hidden="false" customHeight="false" outlineLevel="0" collapsed="false">
      <c r="A223" s="8" t="s">
        <v>674</v>
      </c>
      <c r="B223" s="5" t="s">
        <v>381</v>
      </c>
      <c r="C223" s="5" t="s">
        <v>485</v>
      </c>
      <c r="D223" s="8" t="n">
        <v>110</v>
      </c>
      <c r="E223" s="9" t="n">
        <v>182</v>
      </c>
      <c r="F223" s="10" t="n">
        <v>34.1</v>
      </c>
      <c r="G223" s="10" t="n">
        <v>4</v>
      </c>
      <c r="H223" s="10" t="n">
        <v>0</v>
      </c>
    </row>
    <row r="224" customFormat="false" ht="15" hidden="false" customHeight="false" outlineLevel="0" collapsed="false">
      <c r="A224" s="8"/>
      <c r="B224" s="5"/>
      <c r="C224" s="5" t="s">
        <v>529</v>
      </c>
      <c r="D224" s="8" t="n">
        <v>150</v>
      </c>
      <c r="E224" s="9" t="n">
        <v>136</v>
      </c>
      <c r="F224" s="10" t="n">
        <v>9</v>
      </c>
      <c r="G224" s="10" t="n">
        <v>0.6</v>
      </c>
      <c r="H224" s="10" t="n">
        <v>23.7</v>
      </c>
    </row>
    <row r="225" customFormat="false" ht="15" hidden="false" customHeight="false" outlineLevel="0" collapsed="false">
      <c r="A225" s="8"/>
      <c r="B225" s="5"/>
      <c r="C225" s="5" t="s">
        <v>554</v>
      </c>
      <c r="D225" s="8" t="n">
        <v>80</v>
      </c>
      <c r="E225" s="9" t="n">
        <v>69</v>
      </c>
      <c r="F225" s="10" t="n">
        <v>2.6</v>
      </c>
      <c r="G225" s="10" t="n">
        <v>1</v>
      </c>
      <c r="H225" s="10" t="n">
        <v>15.2</v>
      </c>
    </row>
    <row r="226" customFormat="false" ht="15" hidden="false" customHeight="false" outlineLevel="0" collapsed="false">
      <c r="A226" s="8"/>
      <c r="B226" s="5"/>
      <c r="C226" s="5" t="s">
        <v>561</v>
      </c>
      <c r="D226" s="8" t="n">
        <v>70</v>
      </c>
      <c r="E226" s="9" t="n">
        <v>112</v>
      </c>
      <c r="F226" s="10" t="n">
        <v>1.4</v>
      </c>
      <c r="G226" s="10" t="n">
        <v>10.3</v>
      </c>
      <c r="H226" s="10" t="n">
        <v>6</v>
      </c>
    </row>
    <row r="227" customFormat="false" ht="15" hidden="false" customHeight="false" outlineLevel="0" collapsed="false">
      <c r="A227" s="8"/>
      <c r="B227" s="5"/>
      <c r="C227" s="5" t="s">
        <v>537</v>
      </c>
      <c r="D227" s="8" t="n">
        <v>90</v>
      </c>
      <c r="E227" s="9" t="n">
        <v>16</v>
      </c>
      <c r="F227" s="10" t="n">
        <v>0.8</v>
      </c>
      <c r="G227" s="10" t="n">
        <v>0.2</v>
      </c>
      <c r="H227" s="10" t="n">
        <v>3.5</v>
      </c>
    </row>
    <row r="228" customFormat="false" ht="15" hidden="false" customHeight="false" outlineLevel="0" collapsed="false">
      <c r="A228" s="8"/>
      <c r="B228" s="5"/>
      <c r="C228" s="5" t="s">
        <v>536</v>
      </c>
      <c r="D228" s="8" t="n">
        <v>50</v>
      </c>
      <c r="E228" s="9" t="n">
        <v>8</v>
      </c>
      <c r="F228" s="10" t="n">
        <v>0.5</v>
      </c>
      <c r="G228" s="10" t="n">
        <v>0.1</v>
      </c>
      <c r="H228" s="10" t="n">
        <v>1</v>
      </c>
    </row>
    <row r="229" customFormat="false" ht="15" hidden="false" customHeight="false" outlineLevel="0" collapsed="false">
      <c r="A229" s="8"/>
      <c r="B229" s="5"/>
      <c r="C229" s="5" t="s">
        <v>489</v>
      </c>
      <c r="D229" s="8" t="n">
        <v>8</v>
      </c>
      <c r="E229" s="9" t="n">
        <v>71</v>
      </c>
      <c r="F229" s="10" t="n">
        <v>0</v>
      </c>
      <c r="G229" s="10" t="n">
        <v>8</v>
      </c>
      <c r="H229" s="10" t="n">
        <v>0</v>
      </c>
    </row>
    <row r="230" customFormat="false" ht="15" hidden="false" customHeight="false" outlineLevel="0" collapsed="false">
      <c r="A230" s="8"/>
      <c r="B230" s="5"/>
      <c r="C230" s="5" t="s">
        <v>492</v>
      </c>
      <c r="D230" s="8" t="n">
        <v>100</v>
      </c>
      <c r="E230" s="9" t="n">
        <v>35</v>
      </c>
      <c r="F230" s="10" t="n">
        <v>0.8</v>
      </c>
      <c r="G230" s="10" t="n">
        <v>0.2</v>
      </c>
      <c r="H230" s="10" t="n">
        <v>8.2</v>
      </c>
    </row>
    <row r="231" customFormat="false" ht="15" hidden="false" customHeight="false" outlineLevel="0" collapsed="false">
      <c r="A231" s="3"/>
      <c r="B231" s="3"/>
      <c r="C231" s="15" t="s">
        <v>493</v>
      </c>
      <c r="D231" s="3"/>
      <c r="E231" s="16" t="n">
        <f aca="false">SUM(E223:E230)</f>
        <v>629</v>
      </c>
      <c r="F231" s="17" t="n">
        <f aca="false">SUM(F223:F230)</f>
        <v>49.2</v>
      </c>
      <c r="G231" s="17" t="n">
        <f aca="false">SUM(G223:G230)</f>
        <v>24.4</v>
      </c>
      <c r="H231" s="17" t="n">
        <f aca="false">SUM(H223:H230)</f>
        <v>57.6</v>
      </c>
    </row>
    <row r="233" customFormat="false" ht="15" hidden="false" customHeight="false" outlineLevel="0" collapsed="false">
      <c r="A233" s="8" t="s">
        <v>675</v>
      </c>
      <c r="B233" s="5" t="s">
        <v>386</v>
      </c>
      <c r="C233" s="5" t="s">
        <v>573</v>
      </c>
      <c r="D233" s="8" t="n">
        <v>200</v>
      </c>
      <c r="E233" s="9" t="n">
        <v>494</v>
      </c>
      <c r="F233" s="10" t="n">
        <v>19</v>
      </c>
      <c r="G233" s="10" t="n">
        <v>7</v>
      </c>
      <c r="H233" s="10" t="n">
        <v>78</v>
      </c>
    </row>
    <row r="234" customFormat="false" ht="15" hidden="false" customHeight="false" outlineLevel="0" collapsed="false">
      <c r="A234" s="8"/>
      <c r="B234" s="5"/>
      <c r="C234" s="5" t="s">
        <v>653</v>
      </c>
      <c r="D234" s="8" t="n">
        <v>110</v>
      </c>
      <c r="E234" s="9" t="n">
        <v>108</v>
      </c>
      <c r="F234" s="10" t="n">
        <v>12.1</v>
      </c>
      <c r="G234" s="10" t="n">
        <v>4.7</v>
      </c>
      <c r="H234" s="10" t="n">
        <v>3.7</v>
      </c>
    </row>
    <row r="235" customFormat="false" ht="15" hidden="false" customHeight="false" outlineLevel="0" collapsed="false">
      <c r="A235" s="8"/>
      <c r="B235" s="5"/>
      <c r="C235" s="5" t="s">
        <v>572</v>
      </c>
      <c r="D235" s="8" t="n">
        <v>85</v>
      </c>
      <c r="E235" s="9" t="n">
        <v>122</v>
      </c>
      <c r="F235" s="10" t="n">
        <v>10.7</v>
      </c>
      <c r="G235" s="10" t="n">
        <v>8.1</v>
      </c>
      <c r="H235" s="10" t="n">
        <v>0.6</v>
      </c>
    </row>
    <row r="236" customFormat="false" ht="15" hidden="false" customHeight="false" outlineLevel="0" collapsed="false">
      <c r="A236" s="8"/>
      <c r="B236" s="5"/>
      <c r="C236" s="5" t="s">
        <v>537</v>
      </c>
      <c r="D236" s="8" t="n">
        <v>90</v>
      </c>
      <c r="E236" s="9" t="n">
        <v>16</v>
      </c>
      <c r="F236" s="10" t="n">
        <v>0.8</v>
      </c>
      <c r="G236" s="10" t="n">
        <v>0.2</v>
      </c>
      <c r="H236" s="10" t="n">
        <v>3.5</v>
      </c>
    </row>
    <row r="237" customFormat="false" ht="15" hidden="false" customHeight="false" outlineLevel="0" collapsed="false">
      <c r="A237" s="8"/>
      <c r="B237" s="5"/>
      <c r="C237" s="5" t="s">
        <v>489</v>
      </c>
      <c r="D237" s="8" t="n">
        <v>8</v>
      </c>
      <c r="E237" s="9" t="n">
        <v>71</v>
      </c>
      <c r="F237" s="10" t="n">
        <v>0</v>
      </c>
      <c r="G237" s="10" t="n">
        <v>8</v>
      </c>
      <c r="H237" s="10" t="n">
        <v>0</v>
      </c>
    </row>
    <row r="238" customFormat="false" ht="15" hidden="false" customHeight="false" outlineLevel="0" collapsed="false">
      <c r="A238" s="8"/>
      <c r="B238" s="5"/>
      <c r="C238" s="5" t="s">
        <v>492</v>
      </c>
      <c r="D238" s="8" t="n">
        <v>100</v>
      </c>
      <c r="E238" s="9" t="n">
        <v>35</v>
      </c>
      <c r="F238" s="10" t="n">
        <v>0.8</v>
      </c>
      <c r="G238" s="10" t="n">
        <v>0.2</v>
      </c>
      <c r="H238" s="10" t="n">
        <v>8.2</v>
      </c>
    </row>
    <row r="239" customFormat="false" ht="15" hidden="false" customHeight="false" outlineLevel="0" collapsed="false">
      <c r="A239" s="3"/>
      <c r="B239" s="3"/>
      <c r="C239" s="15" t="s">
        <v>493</v>
      </c>
      <c r="D239" s="3"/>
      <c r="E239" s="16" t="n">
        <f aca="false">SUM(E233:E238)</f>
        <v>846</v>
      </c>
      <c r="F239" s="17" t="n">
        <f aca="false">SUM(F233:F238)</f>
        <v>43.4</v>
      </c>
      <c r="G239" s="17" t="n">
        <f aca="false">SUM(G233:G238)</f>
        <v>28.2</v>
      </c>
      <c r="H239" s="17" t="n">
        <f aca="false">SUM(H233:H238)</f>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34"/>
    <col collapsed="false" customWidth="true" hidden="false" outlineLevel="0" max="4" min="4" style="0" width="8"/>
    <col collapsed="false" customWidth="true" hidden="false" outlineLevel="0" max="5" min="5" style="0" width="9"/>
    <col collapsed="false" customWidth="true" hidden="false" outlineLevel="0" max="6" min="6" style="0" width="10"/>
    <col collapsed="false" customWidth="true" hidden="false" outlineLevel="0" max="8" min="7" style="0" width="9"/>
  </cols>
  <sheetData>
    <row r="1" customFormat="false" ht="15" hidden="false" customHeight="false" outlineLevel="0" collapsed="false">
      <c r="A1" s="6" t="s">
        <v>480</v>
      </c>
      <c r="B1" s="6" t="s">
        <v>481</v>
      </c>
      <c r="C1" s="6" t="s">
        <v>482</v>
      </c>
      <c r="D1" s="6" t="s">
        <v>483</v>
      </c>
      <c r="E1" s="6" t="s">
        <v>63</v>
      </c>
      <c r="F1" s="6" t="s">
        <v>64</v>
      </c>
      <c r="G1" s="6" t="s">
        <v>65</v>
      </c>
      <c r="H1" s="6" t="s">
        <v>66</v>
      </c>
    </row>
    <row r="2" customFormat="false" ht="23.85" hidden="false" customHeight="false" outlineLevel="0" collapsed="false">
      <c r="A2" s="8" t="s">
        <v>676</v>
      </c>
      <c r="B2" s="5" t="s">
        <v>677</v>
      </c>
      <c r="C2" s="5" t="s">
        <v>678</v>
      </c>
      <c r="D2" s="8" t="n">
        <v>100</v>
      </c>
      <c r="E2" s="9" t="n">
        <v>398</v>
      </c>
      <c r="F2" s="10" t="n">
        <v>30</v>
      </c>
      <c r="G2" s="10" t="n">
        <v>10</v>
      </c>
      <c r="H2" s="10" t="n">
        <v>44</v>
      </c>
    </row>
    <row r="3" customFormat="false" ht="15" hidden="false" customHeight="false" outlineLevel="0" collapsed="false">
      <c r="A3" s="8"/>
      <c r="B3" s="5"/>
      <c r="C3" s="5" t="s">
        <v>541</v>
      </c>
      <c r="D3" s="8" t="n">
        <v>250</v>
      </c>
      <c r="E3" s="9" t="n">
        <v>115</v>
      </c>
      <c r="F3" s="10" t="n">
        <v>8.5</v>
      </c>
      <c r="G3" s="10" t="n">
        <v>3.8</v>
      </c>
      <c r="H3" s="10" t="n">
        <v>11.8</v>
      </c>
    </row>
    <row r="4" customFormat="false" ht="15" hidden="false" customHeight="false" outlineLevel="0" collapsed="false">
      <c r="A4" s="8"/>
      <c r="B4" s="5"/>
      <c r="C4" s="5" t="s">
        <v>641</v>
      </c>
      <c r="D4" s="8" t="n">
        <v>120</v>
      </c>
      <c r="E4" s="9" t="n">
        <v>107</v>
      </c>
      <c r="F4" s="10" t="n">
        <v>1.3</v>
      </c>
      <c r="G4" s="10" t="n">
        <v>0.4</v>
      </c>
      <c r="H4" s="10" t="n">
        <v>27.4</v>
      </c>
    </row>
    <row r="5" customFormat="false" ht="15" hidden="false" customHeight="false" outlineLevel="0" collapsed="false">
      <c r="A5" s="8"/>
      <c r="B5" s="5"/>
      <c r="C5" s="5" t="s">
        <v>607</v>
      </c>
      <c r="D5" s="8" t="n">
        <v>20</v>
      </c>
      <c r="E5" s="9" t="n">
        <v>118</v>
      </c>
      <c r="F5" s="10" t="n">
        <v>5</v>
      </c>
      <c r="G5" s="10" t="n">
        <v>9.8</v>
      </c>
      <c r="H5" s="10" t="n">
        <v>3</v>
      </c>
    </row>
    <row r="6" customFormat="false" ht="15" hidden="false" customHeight="false" outlineLevel="0" collapsed="false">
      <c r="A6" s="3"/>
      <c r="B6" s="3"/>
      <c r="C6" s="15" t="s">
        <v>493</v>
      </c>
      <c r="D6" s="3"/>
      <c r="E6" s="16" t="n">
        <f aca="false">SUM(E2:E5)</f>
        <v>738</v>
      </c>
      <c r="F6" s="17" t="n">
        <f aca="false">SUM(F2:F5)</f>
        <v>44.8</v>
      </c>
      <c r="G6" s="17" t="n">
        <f aca="false">SUM(G2:G5)</f>
        <v>24</v>
      </c>
      <c r="H6" s="17" t="n">
        <f aca="false">SUM(H2:H5)</f>
        <v>86.2</v>
      </c>
    </row>
    <row r="8" customFormat="false" ht="23.85" hidden="false" customHeight="false" outlineLevel="0" collapsed="false">
      <c r="A8" s="8" t="s">
        <v>679</v>
      </c>
      <c r="B8" s="5" t="s">
        <v>680</v>
      </c>
      <c r="C8" s="5" t="s">
        <v>681</v>
      </c>
      <c r="D8" s="8" t="n">
        <v>100</v>
      </c>
      <c r="E8" s="9" t="n">
        <v>412</v>
      </c>
      <c r="F8" s="10" t="n">
        <v>25</v>
      </c>
      <c r="G8" s="10" t="n">
        <v>14</v>
      </c>
      <c r="H8" s="10" t="n">
        <v>42</v>
      </c>
    </row>
    <row r="9" customFormat="false" ht="15" hidden="false" customHeight="false" outlineLevel="0" collapsed="false">
      <c r="A9" s="8"/>
      <c r="B9" s="5"/>
      <c r="C9" s="5" t="s">
        <v>541</v>
      </c>
      <c r="D9" s="8" t="n">
        <v>250</v>
      </c>
      <c r="E9" s="9" t="n">
        <v>115</v>
      </c>
      <c r="F9" s="10" t="n">
        <v>8.5</v>
      </c>
      <c r="G9" s="10" t="n">
        <v>3.8</v>
      </c>
      <c r="H9" s="10" t="n">
        <v>11.8</v>
      </c>
    </row>
    <row r="10" customFormat="false" ht="15" hidden="false" customHeight="false" outlineLevel="0" collapsed="false">
      <c r="A10" s="8"/>
      <c r="B10" s="5"/>
      <c r="C10" s="5" t="s">
        <v>640</v>
      </c>
      <c r="D10" s="8" t="n">
        <v>100</v>
      </c>
      <c r="E10" s="9" t="n">
        <v>57</v>
      </c>
      <c r="F10" s="10" t="n">
        <v>0.7</v>
      </c>
      <c r="G10" s="10" t="n">
        <v>0.3</v>
      </c>
      <c r="H10" s="10" t="n">
        <v>14.5</v>
      </c>
    </row>
    <row r="11" customFormat="false" ht="15" hidden="false" customHeight="false" outlineLevel="0" collapsed="false">
      <c r="A11" s="8"/>
      <c r="B11" s="5"/>
      <c r="C11" s="5" t="s">
        <v>488</v>
      </c>
      <c r="D11" s="8" t="n">
        <v>15</v>
      </c>
      <c r="E11" s="9" t="n">
        <v>46</v>
      </c>
      <c r="F11" s="10" t="n">
        <v>0</v>
      </c>
      <c r="G11" s="10" t="n">
        <v>0</v>
      </c>
      <c r="H11" s="10" t="n">
        <v>12.4</v>
      </c>
    </row>
    <row r="12" customFormat="false" ht="15" hidden="false" customHeight="false" outlineLevel="0" collapsed="false">
      <c r="A12" s="3"/>
      <c r="B12" s="3"/>
      <c r="C12" s="15" t="s">
        <v>493</v>
      </c>
      <c r="D12" s="3"/>
      <c r="E12" s="16" t="n">
        <f aca="false">SUM(E8:E11)</f>
        <v>630</v>
      </c>
      <c r="F12" s="17" t="n">
        <f aca="false">SUM(F8:F11)</f>
        <v>34.2</v>
      </c>
      <c r="G12" s="17" t="n">
        <f aca="false">SUM(G8:G11)</f>
        <v>18.1</v>
      </c>
      <c r="H12" s="17" t="n">
        <f aca="false">SUM(H8:H11)</f>
        <v>80.7</v>
      </c>
    </row>
    <row r="14" customFormat="false" ht="23.85" hidden="false" customHeight="false" outlineLevel="0" collapsed="false">
      <c r="A14" s="8" t="s">
        <v>682</v>
      </c>
      <c r="B14" s="5" t="s">
        <v>683</v>
      </c>
      <c r="C14" s="5" t="s">
        <v>684</v>
      </c>
      <c r="D14" s="8" t="n">
        <v>110</v>
      </c>
      <c r="E14" s="9" t="n">
        <v>418</v>
      </c>
      <c r="F14" s="10" t="n">
        <v>29.4</v>
      </c>
      <c r="G14" s="10" t="n">
        <v>3.2</v>
      </c>
      <c r="H14" s="10" t="n">
        <v>67.4</v>
      </c>
    </row>
    <row r="15" customFormat="false" ht="15" hidden="false" customHeight="false" outlineLevel="0" collapsed="false">
      <c r="A15" s="8"/>
      <c r="B15" s="5"/>
      <c r="C15" s="5" t="s">
        <v>541</v>
      </c>
      <c r="D15" s="8" t="n">
        <v>250</v>
      </c>
      <c r="E15" s="9" t="n">
        <v>115</v>
      </c>
      <c r="F15" s="10" t="n">
        <v>8.5</v>
      </c>
      <c r="G15" s="10" t="n">
        <v>3.8</v>
      </c>
      <c r="H15" s="10" t="n">
        <v>11.8</v>
      </c>
    </row>
    <row r="16" customFormat="false" ht="15" hidden="false" customHeight="false" outlineLevel="0" collapsed="false">
      <c r="A16" s="8"/>
      <c r="B16" s="5"/>
      <c r="C16" s="5" t="s">
        <v>685</v>
      </c>
      <c r="D16" s="8" t="n">
        <v>120</v>
      </c>
      <c r="E16" s="9" t="n">
        <v>38</v>
      </c>
      <c r="F16" s="10" t="n">
        <v>0.8</v>
      </c>
      <c r="G16" s="10" t="n">
        <v>0.4</v>
      </c>
      <c r="H16" s="10" t="n">
        <v>9.2</v>
      </c>
    </row>
    <row r="17" customFormat="false" ht="15" hidden="false" customHeight="false" outlineLevel="0" collapsed="false">
      <c r="A17" s="8"/>
      <c r="B17" s="5"/>
      <c r="C17" s="5" t="s">
        <v>669</v>
      </c>
      <c r="D17" s="8" t="n">
        <v>20</v>
      </c>
      <c r="E17" s="9" t="n">
        <v>116</v>
      </c>
      <c r="F17" s="10" t="n">
        <v>4.2</v>
      </c>
      <c r="G17" s="10" t="n">
        <v>10</v>
      </c>
      <c r="H17" s="10" t="n">
        <v>4.3</v>
      </c>
    </row>
    <row r="18" customFormat="false" ht="15" hidden="false" customHeight="false" outlineLevel="0" collapsed="false">
      <c r="A18" s="3"/>
      <c r="B18" s="3"/>
      <c r="C18" s="15" t="s">
        <v>493</v>
      </c>
      <c r="D18" s="3"/>
      <c r="E18" s="16" t="n">
        <f aca="false">SUM(E14:E17)</f>
        <v>687</v>
      </c>
      <c r="F18" s="17" t="n">
        <f aca="false">SUM(F14:F17)</f>
        <v>42.9</v>
      </c>
      <c r="G18" s="17" t="n">
        <f aca="false">SUM(G14:G17)</f>
        <v>17.4</v>
      </c>
      <c r="H18" s="17" t="n">
        <f aca="false">SUM(H14:H17)</f>
        <v>92.7</v>
      </c>
    </row>
    <row r="20" customFormat="false" ht="23.85" hidden="false" customHeight="false" outlineLevel="0" collapsed="false">
      <c r="A20" s="8" t="s">
        <v>686</v>
      </c>
      <c r="B20" s="5" t="s">
        <v>687</v>
      </c>
      <c r="C20" s="5" t="s">
        <v>688</v>
      </c>
      <c r="D20" s="8" t="n">
        <v>250</v>
      </c>
      <c r="E20" s="9" t="n">
        <v>112</v>
      </c>
      <c r="F20" s="10" t="n">
        <v>1</v>
      </c>
      <c r="G20" s="10" t="n">
        <v>0</v>
      </c>
      <c r="H20" s="10" t="n">
        <v>27.5</v>
      </c>
    </row>
    <row r="21" customFormat="false" ht="15" hidden="false" customHeight="false" outlineLevel="0" collapsed="false">
      <c r="A21" s="8"/>
      <c r="B21" s="5"/>
      <c r="C21" s="5" t="s">
        <v>689</v>
      </c>
      <c r="D21" s="8" t="n">
        <v>36</v>
      </c>
      <c r="E21" s="9" t="n">
        <v>139</v>
      </c>
      <c r="F21" s="10" t="n">
        <v>2.9</v>
      </c>
      <c r="G21" s="10" t="n">
        <v>1.1</v>
      </c>
      <c r="H21" s="10" t="n">
        <v>29.3</v>
      </c>
    </row>
    <row r="22" customFormat="false" ht="15" hidden="false" customHeight="false" outlineLevel="0" collapsed="false">
      <c r="A22" s="8"/>
      <c r="B22" s="5"/>
      <c r="C22" s="5" t="s">
        <v>641</v>
      </c>
      <c r="D22" s="8" t="n">
        <v>120</v>
      </c>
      <c r="E22" s="9" t="n">
        <v>107</v>
      </c>
      <c r="F22" s="10" t="n">
        <v>1.3</v>
      </c>
      <c r="G22" s="10" t="n">
        <v>0.4</v>
      </c>
      <c r="H22" s="10" t="n">
        <v>27.4</v>
      </c>
    </row>
    <row r="23" customFormat="false" ht="15" hidden="false" customHeight="false" outlineLevel="0" collapsed="false">
      <c r="A23" s="8"/>
      <c r="B23" s="5"/>
      <c r="C23" s="5" t="s">
        <v>488</v>
      </c>
      <c r="D23" s="8" t="n">
        <v>20</v>
      </c>
      <c r="E23" s="9" t="n">
        <v>61</v>
      </c>
      <c r="F23" s="10" t="n">
        <v>0.1</v>
      </c>
      <c r="G23" s="10" t="n">
        <v>0</v>
      </c>
      <c r="H23" s="10" t="n">
        <v>16.5</v>
      </c>
    </row>
    <row r="24" customFormat="false" ht="15" hidden="false" customHeight="false" outlineLevel="0" collapsed="false">
      <c r="A24" s="3"/>
      <c r="B24" s="3"/>
      <c r="C24" s="15" t="s">
        <v>493</v>
      </c>
      <c r="D24" s="3"/>
      <c r="E24" s="16" t="n">
        <f aca="false">SUM(E20:E23)</f>
        <v>419</v>
      </c>
      <c r="F24" s="17" t="n">
        <f aca="false">SUM(F20:F23)</f>
        <v>5.3</v>
      </c>
      <c r="G24" s="17" t="n">
        <f aca="false">SUM(G20:G23)</f>
        <v>1.5</v>
      </c>
      <c r="H24" s="17" t="n">
        <f aca="false">SUM(H20:H23)</f>
        <v>100.7</v>
      </c>
    </row>
    <row r="26" customFormat="false" ht="35.05" hidden="false" customHeight="false" outlineLevel="0" collapsed="false">
      <c r="A26" s="8" t="s">
        <v>690</v>
      </c>
      <c r="B26" s="5" t="s">
        <v>691</v>
      </c>
      <c r="C26" s="5" t="s">
        <v>689</v>
      </c>
      <c r="D26" s="8" t="n">
        <v>60</v>
      </c>
      <c r="E26" s="9" t="n">
        <v>232</v>
      </c>
      <c r="F26" s="10" t="n">
        <v>4.8</v>
      </c>
      <c r="G26" s="10" t="n">
        <v>1.8</v>
      </c>
      <c r="H26" s="10" t="n">
        <v>48.9</v>
      </c>
    </row>
    <row r="27" customFormat="false" ht="15" hidden="false" customHeight="false" outlineLevel="0" collapsed="false">
      <c r="A27" s="8"/>
      <c r="B27" s="5"/>
      <c r="C27" s="5" t="s">
        <v>488</v>
      </c>
      <c r="D27" s="8" t="n">
        <v>25</v>
      </c>
      <c r="E27" s="9" t="n">
        <v>76</v>
      </c>
      <c r="F27" s="10" t="n">
        <v>0.1</v>
      </c>
      <c r="G27" s="10" t="n">
        <v>0</v>
      </c>
      <c r="H27" s="10" t="n">
        <v>20.6</v>
      </c>
    </row>
    <row r="28" customFormat="false" ht="15" hidden="false" customHeight="false" outlineLevel="0" collapsed="false">
      <c r="A28" s="8"/>
      <c r="B28" s="5"/>
      <c r="C28" s="5" t="s">
        <v>641</v>
      </c>
      <c r="D28" s="8" t="n">
        <v>120</v>
      </c>
      <c r="E28" s="9" t="n">
        <v>107</v>
      </c>
      <c r="F28" s="10" t="n">
        <v>1.3</v>
      </c>
      <c r="G28" s="10" t="n">
        <v>0.4</v>
      </c>
      <c r="H28" s="10" t="n">
        <v>27.4</v>
      </c>
    </row>
    <row r="29" customFormat="false" ht="15" hidden="false" customHeight="false" outlineLevel="0" collapsed="false">
      <c r="A29" s="8"/>
      <c r="B29" s="5"/>
      <c r="C29" s="5" t="s">
        <v>692</v>
      </c>
      <c r="D29" s="8" t="n">
        <v>1</v>
      </c>
      <c r="E29" s="9" t="n">
        <v>0</v>
      </c>
      <c r="F29" s="10" t="n">
        <v>0</v>
      </c>
      <c r="G29" s="10" t="n">
        <v>0</v>
      </c>
      <c r="H29" s="10" t="n">
        <v>0</v>
      </c>
    </row>
    <row r="30" customFormat="false" ht="15" hidden="false" customHeight="false" outlineLevel="0" collapsed="false">
      <c r="A30" s="3"/>
      <c r="B30" s="3"/>
      <c r="C30" s="15" t="s">
        <v>493</v>
      </c>
      <c r="D30" s="3"/>
      <c r="E30" s="16" t="n">
        <f aca="false">SUM(E26:E29)</f>
        <v>415</v>
      </c>
      <c r="F30" s="17" t="n">
        <f aca="false">SUM(F26:F29)</f>
        <v>6.2</v>
      </c>
      <c r="G30" s="17" t="n">
        <f aca="false">SUM(G26:G29)</f>
        <v>2.2</v>
      </c>
      <c r="H30" s="17" t="n">
        <f aca="false">SUM(H26:H29)</f>
        <v>96.9</v>
      </c>
    </row>
    <row r="32" customFormat="false" ht="15" hidden="false" customHeight="false" outlineLevel="0" collapsed="false">
      <c r="A32" s="8" t="s">
        <v>693</v>
      </c>
      <c r="B32" s="5" t="s">
        <v>694</v>
      </c>
      <c r="C32" s="5" t="s">
        <v>695</v>
      </c>
      <c r="D32" s="8" t="n">
        <v>30</v>
      </c>
      <c r="E32" s="9" t="n">
        <v>111</v>
      </c>
      <c r="F32" s="10" t="n">
        <v>25.5</v>
      </c>
      <c r="G32" s="10" t="n">
        <v>0.5</v>
      </c>
      <c r="H32" s="10" t="n">
        <v>1.5</v>
      </c>
    </row>
    <row r="33" customFormat="false" ht="15" hidden="false" customHeight="false" outlineLevel="0" collapsed="false">
      <c r="A33" s="8"/>
      <c r="B33" s="5"/>
      <c r="C33" s="5" t="s">
        <v>486</v>
      </c>
      <c r="D33" s="8" t="n">
        <v>320</v>
      </c>
      <c r="E33" s="9" t="n">
        <v>416</v>
      </c>
      <c r="F33" s="10" t="n">
        <v>8.6</v>
      </c>
      <c r="G33" s="10" t="n">
        <v>1</v>
      </c>
      <c r="H33" s="10" t="n">
        <v>90.2</v>
      </c>
    </row>
    <row r="34" customFormat="false" ht="15" hidden="false" customHeight="false" outlineLevel="0" collapsed="false">
      <c r="A34" s="8"/>
      <c r="B34" s="5"/>
      <c r="C34" s="5" t="s">
        <v>488</v>
      </c>
      <c r="D34" s="8" t="n">
        <v>25</v>
      </c>
      <c r="E34" s="9" t="n">
        <v>76</v>
      </c>
      <c r="F34" s="10" t="n">
        <v>0.1</v>
      </c>
      <c r="G34" s="10" t="n">
        <v>0</v>
      </c>
      <c r="H34" s="10" t="n">
        <v>20.6</v>
      </c>
    </row>
    <row r="35" customFormat="false" ht="15" hidden="false" customHeight="false" outlineLevel="0" collapsed="false">
      <c r="A35" s="3"/>
      <c r="B35" s="3"/>
      <c r="C35" s="15" t="s">
        <v>493</v>
      </c>
      <c r="D35" s="3"/>
      <c r="E35" s="16" t="n">
        <f aca="false">SUM(E32:E34)</f>
        <v>603</v>
      </c>
      <c r="F35" s="17" t="n">
        <f aca="false">SUM(F32:F34)</f>
        <v>34.2</v>
      </c>
      <c r="G35" s="17" t="n">
        <f aca="false">SUM(G32:G34)</f>
        <v>1.5</v>
      </c>
      <c r="H35" s="17" t="n">
        <f aca="false">SUM(H32:H34)</f>
        <v>112.3</v>
      </c>
    </row>
    <row r="37" customFormat="false" ht="15" hidden="false" customHeight="false" outlineLevel="0" collapsed="false">
      <c r="A37" s="8" t="s">
        <v>696</v>
      </c>
      <c r="B37" s="5" t="s">
        <v>697</v>
      </c>
      <c r="C37" s="5" t="s">
        <v>638</v>
      </c>
      <c r="D37" s="8" t="n">
        <v>215</v>
      </c>
      <c r="E37" s="9" t="n">
        <v>135</v>
      </c>
      <c r="F37" s="10" t="n">
        <v>23.6</v>
      </c>
      <c r="G37" s="10" t="n">
        <v>0.4</v>
      </c>
      <c r="H37" s="10" t="n">
        <v>8.6</v>
      </c>
    </row>
    <row r="38" customFormat="false" ht="15" hidden="false" customHeight="false" outlineLevel="0" collapsed="false">
      <c r="A38" s="8"/>
      <c r="B38" s="5"/>
      <c r="C38" s="5" t="s">
        <v>639</v>
      </c>
      <c r="D38" s="8" t="n">
        <v>80</v>
      </c>
      <c r="E38" s="9" t="n">
        <v>304</v>
      </c>
      <c r="F38" s="10" t="n">
        <v>8</v>
      </c>
      <c r="G38" s="10" t="n">
        <v>5.6</v>
      </c>
      <c r="H38" s="10" t="n">
        <v>52</v>
      </c>
    </row>
    <row r="39" customFormat="false" ht="15" hidden="false" customHeight="false" outlineLevel="0" collapsed="false">
      <c r="A39" s="8"/>
      <c r="B39" s="5"/>
      <c r="C39" s="5" t="s">
        <v>641</v>
      </c>
      <c r="D39" s="8" t="n">
        <v>120</v>
      </c>
      <c r="E39" s="9" t="n">
        <v>107</v>
      </c>
      <c r="F39" s="10" t="n">
        <v>1.3</v>
      </c>
      <c r="G39" s="10" t="n">
        <v>0.4</v>
      </c>
      <c r="H39" s="10" t="n">
        <v>27.4</v>
      </c>
    </row>
    <row r="40" customFormat="false" ht="15" hidden="false" customHeight="false" outlineLevel="0" collapsed="false">
      <c r="A40" s="3"/>
      <c r="B40" s="3"/>
      <c r="C40" s="15" t="s">
        <v>493</v>
      </c>
      <c r="D40" s="3"/>
      <c r="E40" s="16" t="n">
        <f aca="false">SUM(E37:E39)</f>
        <v>546</v>
      </c>
      <c r="F40" s="17" t="n">
        <f aca="false">SUM(F37:F39)</f>
        <v>32.9</v>
      </c>
      <c r="G40" s="17" t="n">
        <f aca="false">SUM(G37:G39)</f>
        <v>6.4</v>
      </c>
      <c r="H40" s="17" t="n">
        <f aca="false">SUM(H37:H39)</f>
        <v>88</v>
      </c>
    </row>
    <row r="42" customFormat="false" ht="23.85" hidden="false" customHeight="false" outlineLevel="0" collapsed="false">
      <c r="A42" s="8" t="s">
        <v>698</v>
      </c>
      <c r="B42" s="5" t="s">
        <v>699</v>
      </c>
      <c r="C42" s="5" t="s">
        <v>684</v>
      </c>
      <c r="D42" s="8" t="n">
        <v>75</v>
      </c>
      <c r="E42" s="9" t="n">
        <v>285</v>
      </c>
      <c r="F42" s="10" t="n">
        <v>20</v>
      </c>
      <c r="G42" s="10" t="n">
        <v>2.2</v>
      </c>
      <c r="H42" s="10" t="n">
        <v>46</v>
      </c>
    </row>
    <row r="43" customFormat="false" ht="15" hidden="false" customHeight="false" outlineLevel="0" collapsed="false">
      <c r="A43" s="8"/>
      <c r="B43" s="5"/>
      <c r="C43" s="5" t="s">
        <v>541</v>
      </c>
      <c r="D43" s="8" t="n">
        <v>200</v>
      </c>
      <c r="E43" s="9" t="n">
        <v>92</v>
      </c>
      <c r="F43" s="10" t="n">
        <v>6.8</v>
      </c>
      <c r="G43" s="10" t="n">
        <v>3</v>
      </c>
      <c r="H43" s="10" t="n">
        <v>9.4</v>
      </c>
    </row>
    <row r="44" customFormat="false" ht="15" hidden="false" customHeight="false" outlineLevel="0" collapsed="false">
      <c r="A44" s="8"/>
      <c r="B44" s="5"/>
      <c r="C44" s="5" t="s">
        <v>641</v>
      </c>
      <c r="D44" s="8" t="n">
        <v>120</v>
      </c>
      <c r="E44" s="9" t="n">
        <v>107</v>
      </c>
      <c r="F44" s="10" t="n">
        <v>1.3</v>
      </c>
      <c r="G44" s="10" t="n">
        <v>0.4</v>
      </c>
      <c r="H44" s="10" t="n">
        <v>27.4</v>
      </c>
    </row>
    <row r="45" customFormat="false" ht="15" hidden="false" customHeight="false" outlineLevel="0" collapsed="false">
      <c r="A45" s="3"/>
      <c r="B45" s="3"/>
      <c r="C45" s="15" t="s">
        <v>493</v>
      </c>
      <c r="D45" s="3"/>
      <c r="E45" s="16" t="n">
        <f aca="false">SUM(E42:E44)</f>
        <v>484</v>
      </c>
      <c r="F45" s="17" t="n">
        <f aca="false">SUM(F42:F44)</f>
        <v>28.1</v>
      </c>
      <c r="G45" s="17" t="n">
        <f aca="false">SUM(G42:G44)</f>
        <v>5.6</v>
      </c>
      <c r="H45" s="17" t="n">
        <f aca="false">SUM(H42:H44)</f>
        <v>82.8</v>
      </c>
    </row>
    <row r="47" customFormat="false" ht="23.85" hidden="false" customHeight="false" outlineLevel="0" collapsed="false">
      <c r="A47" s="8" t="s">
        <v>700</v>
      </c>
      <c r="B47" s="5" t="s">
        <v>701</v>
      </c>
      <c r="C47" s="5" t="s">
        <v>634</v>
      </c>
      <c r="D47" s="8" t="n">
        <v>215</v>
      </c>
      <c r="E47" s="9" t="n">
        <v>123</v>
      </c>
      <c r="F47" s="10" t="n">
        <v>21.5</v>
      </c>
      <c r="G47" s="10" t="n">
        <v>0.4</v>
      </c>
      <c r="H47" s="10" t="n">
        <v>7.5</v>
      </c>
    </row>
    <row r="48" customFormat="false" ht="15" hidden="false" customHeight="false" outlineLevel="0" collapsed="false">
      <c r="A48" s="8"/>
      <c r="B48" s="5"/>
      <c r="C48" s="5" t="s">
        <v>541</v>
      </c>
      <c r="D48" s="8" t="n">
        <v>100</v>
      </c>
      <c r="E48" s="9" t="n">
        <v>46</v>
      </c>
      <c r="F48" s="10" t="n">
        <v>3.4</v>
      </c>
      <c r="G48" s="10" t="n">
        <v>1.5</v>
      </c>
      <c r="H48" s="10" t="n">
        <v>4.7</v>
      </c>
    </row>
    <row r="49" customFormat="false" ht="15" hidden="false" customHeight="false" outlineLevel="0" collapsed="false">
      <c r="A49" s="8"/>
      <c r="B49" s="5"/>
      <c r="C49" s="5" t="s">
        <v>488</v>
      </c>
      <c r="D49" s="8" t="n">
        <v>25</v>
      </c>
      <c r="E49" s="9" t="n">
        <v>76</v>
      </c>
      <c r="F49" s="10" t="n">
        <v>0.1</v>
      </c>
      <c r="G49" s="10" t="n">
        <v>0</v>
      </c>
      <c r="H49" s="10" t="n">
        <v>20.6</v>
      </c>
    </row>
    <row r="50" customFormat="false" ht="15" hidden="false" customHeight="false" outlineLevel="0" collapsed="false">
      <c r="A50" s="8"/>
      <c r="B50" s="5"/>
      <c r="C50" s="5" t="s">
        <v>641</v>
      </c>
      <c r="D50" s="8" t="n">
        <v>100</v>
      </c>
      <c r="E50" s="9" t="n">
        <v>89</v>
      </c>
      <c r="F50" s="10" t="n">
        <v>1.1</v>
      </c>
      <c r="G50" s="10" t="n">
        <v>0.3</v>
      </c>
      <c r="H50" s="10" t="n">
        <v>22.8</v>
      </c>
    </row>
    <row r="51" customFormat="false" ht="15" hidden="false" customHeight="false" outlineLevel="0" collapsed="false">
      <c r="A51" s="3"/>
      <c r="B51" s="3"/>
      <c r="C51" s="15" t="s">
        <v>493</v>
      </c>
      <c r="D51" s="3"/>
      <c r="E51" s="16" t="n">
        <f aca="false">SUM(E47:E50)</f>
        <v>334</v>
      </c>
      <c r="F51" s="17" t="n">
        <f aca="false">SUM(F47:F50)</f>
        <v>26.1</v>
      </c>
      <c r="G51" s="17" t="n">
        <f aca="false">SUM(G47:G50)</f>
        <v>2.2</v>
      </c>
      <c r="H51" s="17" t="n">
        <f aca="false">SUM(H47:H50)</f>
        <v>55.6</v>
      </c>
    </row>
    <row r="53" customFormat="false" ht="23.85" hidden="false" customHeight="false" outlineLevel="0" collapsed="false">
      <c r="A53" s="8" t="s">
        <v>702</v>
      </c>
      <c r="B53" s="5" t="s">
        <v>703</v>
      </c>
      <c r="C53" s="5" t="s">
        <v>638</v>
      </c>
      <c r="D53" s="8" t="n">
        <v>215</v>
      </c>
      <c r="E53" s="9" t="n">
        <v>135</v>
      </c>
      <c r="F53" s="10" t="n">
        <v>23.6</v>
      </c>
      <c r="G53" s="10" t="n">
        <v>0.4</v>
      </c>
      <c r="H53" s="10" t="n">
        <v>8.6</v>
      </c>
    </row>
    <row r="54" customFormat="false" ht="15" hidden="false" customHeight="false" outlineLevel="0" collapsed="false">
      <c r="A54" s="8"/>
      <c r="B54" s="5"/>
      <c r="C54" s="5" t="s">
        <v>541</v>
      </c>
      <c r="D54" s="8" t="n">
        <v>80</v>
      </c>
      <c r="E54" s="9" t="n">
        <v>37</v>
      </c>
      <c r="F54" s="10" t="n">
        <v>2.7</v>
      </c>
      <c r="G54" s="10" t="n">
        <v>1.2</v>
      </c>
      <c r="H54" s="10" t="n">
        <v>3.8</v>
      </c>
    </row>
    <row r="55" customFormat="false" ht="15" hidden="false" customHeight="false" outlineLevel="0" collapsed="false">
      <c r="A55" s="8"/>
      <c r="B55" s="5"/>
      <c r="C55" s="5" t="s">
        <v>640</v>
      </c>
      <c r="D55" s="8" t="n">
        <v>100</v>
      </c>
      <c r="E55" s="9" t="n">
        <v>57</v>
      </c>
      <c r="F55" s="10" t="n">
        <v>0.7</v>
      </c>
      <c r="G55" s="10" t="n">
        <v>0.3</v>
      </c>
      <c r="H55" s="10" t="n">
        <v>14.5</v>
      </c>
    </row>
    <row r="56" customFormat="false" ht="15" hidden="false" customHeight="false" outlineLevel="0" collapsed="false">
      <c r="A56" s="8"/>
      <c r="B56" s="5"/>
      <c r="C56" s="5" t="s">
        <v>488</v>
      </c>
      <c r="D56" s="8" t="n">
        <v>25</v>
      </c>
      <c r="E56" s="9" t="n">
        <v>76</v>
      </c>
      <c r="F56" s="10" t="n">
        <v>0.1</v>
      </c>
      <c r="G56" s="10" t="n">
        <v>0</v>
      </c>
      <c r="H56" s="10" t="n">
        <v>20.6</v>
      </c>
    </row>
    <row r="57" customFormat="false" ht="15" hidden="false" customHeight="false" outlineLevel="0" collapsed="false">
      <c r="A57" s="3"/>
      <c r="B57" s="3"/>
      <c r="C57" s="15" t="s">
        <v>493</v>
      </c>
      <c r="D57" s="3"/>
      <c r="E57" s="16" t="n">
        <f aca="false">SUM(E53:E56)</f>
        <v>305</v>
      </c>
      <c r="F57" s="17" t="n">
        <f aca="false">SUM(F53:F56)</f>
        <v>27.1</v>
      </c>
      <c r="G57" s="17" t="n">
        <f aca="false">SUM(G53:G56)</f>
        <v>1.9</v>
      </c>
      <c r="H57" s="17" t="n">
        <f aca="false">SUM(H53:H56)</f>
        <v>47.5</v>
      </c>
    </row>
    <row r="59" customFormat="false" ht="23.85" hidden="false" customHeight="false" outlineLevel="0" collapsed="false">
      <c r="A59" s="8" t="s">
        <v>704</v>
      </c>
      <c r="B59" s="5" t="s">
        <v>705</v>
      </c>
      <c r="C59" s="5" t="s">
        <v>634</v>
      </c>
      <c r="D59" s="8" t="n">
        <v>215</v>
      </c>
      <c r="E59" s="9" t="n">
        <v>123</v>
      </c>
      <c r="F59" s="10" t="n">
        <v>21.5</v>
      </c>
      <c r="G59" s="10" t="n">
        <v>0.4</v>
      </c>
      <c r="H59" s="10" t="n">
        <v>7.5</v>
      </c>
    </row>
    <row r="60" customFormat="false" ht="15" hidden="false" customHeight="false" outlineLevel="0" collapsed="false">
      <c r="A60" s="8"/>
      <c r="B60" s="5"/>
      <c r="C60" s="5" t="s">
        <v>488</v>
      </c>
      <c r="D60" s="8" t="n">
        <v>25</v>
      </c>
      <c r="E60" s="9" t="n">
        <v>76</v>
      </c>
      <c r="F60" s="10" t="n">
        <v>0.1</v>
      </c>
      <c r="G60" s="10" t="n">
        <v>0</v>
      </c>
      <c r="H60" s="10" t="n">
        <v>20.6</v>
      </c>
    </row>
    <row r="61" customFormat="false" ht="15" hidden="false" customHeight="false" outlineLevel="0" collapsed="false">
      <c r="A61" s="8"/>
      <c r="B61" s="5"/>
      <c r="C61" s="5" t="s">
        <v>651</v>
      </c>
      <c r="D61" s="8" t="n">
        <v>15</v>
      </c>
      <c r="E61" s="9" t="n">
        <v>98</v>
      </c>
      <c r="F61" s="10" t="n">
        <v>2.3</v>
      </c>
      <c r="G61" s="10" t="n">
        <v>9.8</v>
      </c>
      <c r="H61" s="10" t="n">
        <v>2.1</v>
      </c>
    </row>
    <row r="62" customFormat="false" ht="15" hidden="false" customHeight="false" outlineLevel="0" collapsed="false">
      <c r="A62" s="3"/>
      <c r="B62" s="3"/>
      <c r="C62" s="15" t="s">
        <v>493</v>
      </c>
      <c r="D62" s="3"/>
      <c r="E62" s="16" t="n">
        <f aca="false">SUM(E59:E61)</f>
        <v>297</v>
      </c>
      <c r="F62" s="17" t="n">
        <f aca="false">SUM(F59:F61)</f>
        <v>23.9</v>
      </c>
      <c r="G62" s="17" t="n">
        <f aca="false">SUM(G59:G61)</f>
        <v>10.2</v>
      </c>
      <c r="H62" s="17" t="n">
        <f aca="false">SUM(H59:H61)</f>
        <v>30.2</v>
      </c>
    </row>
    <row r="64" customFormat="false" ht="23.85" hidden="false" customHeight="false" outlineLevel="0" collapsed="false">
      <c r="A64" s="8" t="s">
        <v>706</v>
      </c>
      <c r="B64" s="5" t="s">
        <v>707</v>
      </c>
      <c r="C64" s="5" t="s">
        <v>634</v>
      </c>
      <c r="D64" s="8" t="n">
        <v>200</v>
      </c>
      <c r="E64" s="9" t="n">
        <v>114</v>
      </c>
      <c r="F64" s="10" t="n">
        <v>20</v>
      </c>
      <c r="G64" s="10" t="n">
        <v>0.4</v>
      </c>
      <c r="H64" s="10" t="n">
        <v>7</v>
      </c>
    </row>
    <row r="65" customFormat="false" ht="15" hidden="false" customHeight="false" outlineLevel="0" collapsed="false">
      <c r="A65" s="8"/>
      <c r="B65" s="5"/>
      <c r="C65" s="5" t="s">
        <v>708</v>
      </c>
      <c r="D65" s="8" t="n">
        <v>200</v>
      </c>
      <c r="E65" s="9" t="n">
        <v>90</v>
      </c>
      <c r="F65" s="10" t="n">
        <v>1.4</v>
      </c>
      <c r="G65" s="10" t="n">
        <v>0.4</v>
      </c>
      <c r="H65" s="10" t="n">
        <v>20.8</v>
      </c>
    </row>
    <row r="66" customFormat="false" ht="15" hidden="false" customHeight="false" outlineLevel="0" collapsed="false">
      <c r="A66" s="8"/>
      <c r="B66" s="5"/>
      <c r="C66" s="5" t="s">
        <v>488</v>
      </c>
      <c r="D66" s="8" t="n">
        <v>15</v>
      </c>
      <c r="E66" s="9" t="n">
        <v>46</v>
      </c>
      <c r="F66" s="10" t="n">
        <v>0</v>
      </c>
      <c r="G66" s="10" t="n">
        <v>0</v>
      </c>
      <c r="H66" s="10" t="n">
        <v>12.4</v>
      </c>
    </row>
    <row r="67" customFormat="false" ht="15" hidden="false" customHeight="false" outlineLevel="0" collapsed="false">
      <c r="A67" s="3"/>
      <c r="B67" s="3"/>
      <c r="C67" s="15" t="s">
        <v>493</v>
      </c>
      <c r="D67" s="3"/>
      <c r="E67" s="16" t="n">
        <f aca="false">SUM(E64:E66)</f>
        <v>250</v>
      </c>
      <c r="F67" s="17" t="n">
        <f aca="false">SUM(F64:F66)</f>
        <v>21.4</v>
      </c>
      <c r="G67" s="17" t="n">
        <f aca="false">SUM(G64:G66)</f>
        <v>0.8</v>
      </c>
      <c r="H67" s="17" t="n">
        <f aca="false">SUM(H64:H66)</f>
        <v>40.2</v>
      </c>
    </row>
    <row r="69" customFormat="false" ht="23.85" hidden="false" customHeight="false" outlineLevel="0" collapsed="false">
      <c r="A69" s="8" t="s">
        <v>709</v>
      </c>
      <c r="B69" s="5" t="s">
        <v>710</v>
      </c>
      <c r="C69" s="5" t="s">
        <v>689</v>
      </c>
      <c r="D69" s="8" t="n">
        <v>40</v>
      </c>
      <c r="E69" s="9" t="n">
        <v>155</v>
      </c>
      <c r="F69" s="10" t="n">
        <v>3.2</v>
      </c>
      <c r="G69" s="10" t="n">
        <v>1.2</v>
      </c>
      <c r="H69" s="10" t="n">
        <v>32.6</v>
      </c>
    </row>
    <row r="70" customFormat="false" ht="15" hidden="false" customHeight="false" outlineLevel="0" collapsed="false">
      <c r="A70" s="8"/>
      <c r="B70" s="5"/>
      <c r="C70" s="5" t="s">
        <v>607</v>
      </c>
      <c r="D70" s="8" t="n">
        <v>25</v>
      </c>
      <c r="E70" s="9" t="n">
        <v>147</v>
      </c>
      <c r="F70" s="10" t="n">
        <v>6.2</v>
      </c>
      <c r="G70" s="10" t="n">
        <v>12.2</v>
      </c>
      <c r="H70" s="10" t="n">
        <v>3.8</v>
      </c>
    </row>
    <row r="71" customFormat="false" ht="15" hidden="false" customHeight="false" outlineLevel="0" collapsed="false">
      <c r="A71" s="8"/>
      <c r="B71" s="5"/>
      <c r="C71" s="5" t="s">
        <v>488</v>
      </c>
      <c r="D71" s="8" t="n">
        <v>15</v>
      </c>
      <c r="E71" s="9" t="n">
        <v>46</v>
      </c>
      <c r="F71" s="10" t="n">
        <v>0</v>
      </c>
      <c r="G71" s="10" t="n">
        <v>0</v>
      </c>
      <c r="H71" s="10" t="n">
        <v>12.4</v>
      </c>
    </row>
    <row r="72" customFormat="false" ht="15" hidden="false" customHeight="false" outlineLevel="0" collapsed="false">
      <c r="A72" s="8"/>
      <c r="B72" s="5"/>
      <c r="C72" s="5" t="s">
        <v>541</v>
      </c>
      <c r="D72" s="8" t="n">
        <v>200</v>
      </c>
      <c r="E72" s="9" t="n">
        <v>92</v>
      </c>
      <c r="F72" s="10" t="n">
        <v>6.8</v>
      </c>
      <c r="G72" s="10" t="n">
        <v>3</v>
      </c>
      <c r="H72" s="10" t="n">
        <v>9.4</v>
      </c>
    </row>
    <row r="73" customFormat="false" ht="15" hidden="false" customHeight="false" outlineLevel="0" collapsed="false">
      <c r="A73" s="3"/>
      <c r="B73" s="3"/>
      <c r="C73" s="15" t="s">
        <v>493</v>
      </c>
      <c r="D73" s="3"/>
      <c r="E73" s="16" t="n">
        <f aca="false">SUM(E69:E72)</f>
        <v>440</v>
      </c>
      <c r="F73" s="17" t="n">
        <f aca="false">SUM(F69:F72)</f>
        <v>16.2</v>
      </c>
      <c r="G73" s="17" t="n">
        <f aca="false">SUM(G69:G72)</f>
        <v>16.4</v>
      </c>
      <c r="H73" s="17" t="n">
        <f aca="false">SUM(H69:H72)</f>
        <v>58.2</v>
      </c>
    </row>
    <row r="75" customFormat="false" ht="23.85" hidden="false" customHeight="false" outlineLevel="0" collapsed="false">
      <c r="A75" s="8" t="s">
        <v>711</v>
      </c>
      <c r="B75" s="5" t="s">
        <v>712</v>
      </c>
      <c r="C75" s="5" t="s">
        <v>634</v>
      </c>
      <c r="D75" s="8" t="n">
        <v>215</v>
      </c>
      <c r="E75" s="9" t="n">
        <v>123</v>
      </c>
      <c r="F75" s="10" t="n">
        <v>21.5</v>
      </c>
      <c r="G75" s="10" t="n">
        <v>0.4</v>
      </c>
      <c r="H75" s="10" t="n">
        <v>7.5</v>
      </c>
    </row>
    <row r="76" customFormat="false" ht="15" hidden="false" customHeight="false" outlineLevel="0" collapsed="false">
      <c r="A76" s="8"/>
      <c r="B76" s="5"/>
      <c r="C76" s="5" t="s">
        <v>541</v>
      </c>
      <c r="D76" s="8" t="n">
        <v>100</v>
      </c>
      <c r="E76" s="9" t="n">
        <v>46</v>
      </c>
      <c r="F76" s="10" t="n">
        <v>3.4</v>
      </c>
      <c r="G76" s="10" t="n">
        <v>1.5</v>
      </c>
      <c r="H76" s="10" t="n">
        <v>4.7</v>
      </c>
    </row>
    <row r="77" customFormat="false" ht="15" hidden="false" customHeight="false" outlineLevel="0" collapsed="false">
      <c r="A77" s="8"/>
      <c r="B77" s="5"/>
      <c r="C77" s="5" t="s">
        <v>713</v>
      </c>
      <c r="D77" s="8" t="n">
        <v>40</v>
      </c>
      <c r="E77" s="9" t="n">
        <v>111</v>
      </c>
      <c r="F77" s="10" t="n">
        <v>0.7</v>
      </c>
      <c r="G77" s="10" t="n">
        <v>0.1</v>
      </c>
      <c r="H77" s="10" t="n">
        <v>30</v>
      </c>
    </row>
    <row r="78" customFormat="false" ht="15" hidden="false" customHeight="false" outlineLevel="0" collapsed="false">
      <c r="A78" s="3"/>
      <c r="B78" s="3"/>
      <c r="C78" s="15" t="s">
        <v>493</v>
      </c>
      <c r="D78" s="3"/>
      <c r="E78" s="16" t="n">
        <f aca="false">SUM(E75:E77)</f>
        <v>280</v>
      </c>
      <c r="F78" s="17" t="n">
        <f aca="false">SUM(F75:F77)</f>
        <v>25.6</v>
      </c>
      <c r="G78" s="17" t="n">
        <f aca="false">SUM(G75:G77)</f>
        <v>2</v>
      </c>
      <c r="H78" s="17" t="n">
        <f aca="false">SUM(H75:H77)</f>
        <v>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21" min="3" style="0" width="13"/>
  </cols>
  <sheetData>
    <row r="1" customFormat="false" ht="15" hidden="false" customHeight="false" outlineLevel="0" collapsed="false">
      <c r="A1" s="7" t="s">
        <v>714</v>
      </c>
    </row>
    <row r="2" customFormat="false" ht="15" hidden="false" customHeight="false" outlineLevel="0" collapsed="false">
      <c r="A2" s="12" t="s">
        <v>715</v>
      </c>
      <c r="B2" s="13"/>
      <c r="C2" s="12" t="n">
        <v>900</v>
      </c>
      <c r="D2" s="12" t="n">
        <v>80</v>
      </c>
      <c r="E2" s="12" t="n">
        <v>10</v>
      </c>
      <c r="F2" s="12" t="n">
        <v>13</v>
      </c>
      <c r="G2" s="12" t="n">
        <v>75</v>
      </c>
      <c r="H2" s="12" t="n">
        <v>1.7</v>
      </c>
      <c r="I2" s="12" t="n">
        <v>1.6</v>
      </c>
      <c r="J2" s="12" t="n">
        <v>18</v>
      </c>
      <c r="K2" s="12" t="n">
        <v>1.5</v>
      </c>
      <c r="L2" s="12" t="n">
        <v>2.8</v>
      </c>
      <c r="M2" s="12" t="n">
        <v>300</v>
      </c>
      <c r="N2" s="12" t="n">
        <v>950</v>
      </c>
      <c r="O2" s="12" t="n">
        <v>11</v>
      </c>
      <c r="P2" s="12" t="n">
        <v>350</v>
      </c>
      <c r="Q2" s="12" t="n">
        <v>11</v>
      </c>
      <c r="R2" s="12" t="n">
        <v>3500</v>
      </c>
      <c r="S2" s="12" t="n">
        <v>70</v>
      </c>
      <c r="T2" s="12" t="n">
        <v>150</v>
      </c>
      <c r="U2" s="12" t="n">
        <v>40</v>
      </c>
    </row>
    <row r="3" customFormat="false" ht="23.85" hidden="false" customHeight="false" outlineLevel="0" collapsed="false">
      <c r="A3" s="6" t="s">
        <v>53</v>
      </c>
      <c r="B3" s="6" t="s">
        <v>54</v>
      </c>
      <c r="C3" s="6" t="s">
        <v>716</v>
      </c>
      <c r="D3" s="6" t="s">
        <v>717</v>
      </c>
      <c r="E3" s="6" t="s">
        <v>718</v>
      </c>
      <c r="F3" s="6" t="s">
        <v>719</v>
      </c>
      <c r="G3" s="6" t="s">
        <v>720</v>
      </c>
      <c r="H3" s="6" t="s">
        <v>721</v>
      </c>
      <c r="I3" s="6" t="s">
        <v>722</v>
      </c>
      <c r="J3" s="6" t="s">
        <v>723</v>
      </c>
      <c r="K3" s="6" t="s">
        <v>724</v>
      </c>
      <c r="L3" s="6" t="s">
        <v>725</v>
      </c>
      <c r="M3" s="6" t="s">
        <v>726</v>
      </c>
      <c r="N3" s="6" t="s">
        <v>727</v>
      </c>
      <c r="O3" s="6" t="s">
        <v>728</v>
      </c>
      <c r="P3" s="6" t="s">
        <v>729</v>
      </c>
      <c r="Q3" s="6" t="s">
        <v>730</v>
      </c>
      <c r="R3" s="6" t="s">
        <v>731</v>
      </c>
      <c r="S3" s="6" t="s">
        <v>732</v>
      </c>
      <c r="T3" s="6" t="s">
        <v>733</v>
      </c>
      <c r="U3" s="6" t="s">
        <v>67</v>
      </c>
    </row>
    <row r="4" customFormat="false" ht="15" hidden="false" customHeight="false" outlineLevel="0" collapsed="false">
      <c r="A4" s="7" t="n">
        <v>1</v>
      </c>
      <c r="B4" s="8" t="s">
        <v>68</v>
      </c>
      <c r="C4" s="18" t="n">
        <v>2.39</v>
      </c>
      <c r="D4" s="18" t="n">
        <v>8.91</v>
      </c>
      <c r="E4" s="19" t="n">
        <v>0.09</v>
      </c>
      <c r="F4" s="18" t="n">
        <v>1.36</v>
      </c>
      <c r="G4" s="18" t="n">
        <v>5.36</v>
      </c>
      <c r="H4" s="18" t="n">
        <v>1.36</v>
      </c>
      <c r="I4" s="18" t="n">
        <v>1.92</v>
      </c>
      <c r="J4" s="18" t="n">
        <v>3.03</v>
      </c>
      <c r="K4" s="18" t="n">
        <v>3.17</v>
      </c>
      <c r="L4" s="18" t="n">
        <v>1.95</v>
      </c>
      <c r="M4" s="18" t="n">
        <v>2.32</v>
      </c>
      <c r="N4" s="18" t="n">
        <v>1.79</v>
      </c>
      <c r="O4" s="18" t="n">
        <v>2.55</v>
      </c>
      <c r="P4" s="18" t="n">
        <v>2.49</v>
      </c>
      <c r="Q4" s="20" t="n">
        <v>2.41</v>
      </c>
      <c r="R4" s="18" t="n">
        <v>1.82</v>
      </c>
      <c r="S4" s="18" t="n">
        <v>3.77</v>
      </c>
      <c r="T4" s="18" t="n">
        <v>2.26</v>
      </c>
      <c r="U4" s="18" t="n">
        <v>1.06</v>
      </c>
    </row>
    <row r="5" customFormat="false" ht="15" hidden="false" customHeight="false" outlineLevel="0" collapsed="false">
      <c r="A5" s="7" t="n">
        <v>2</v>
      </c>
      <c r="B5" s="8" t="s">
        <v>76</v>
      </c>
      <c r="C5" s="18" t="n">
        <v>2.2</v>
      </c>
      <c r="D5" s="18" t="n">
        <v>4.3</v>
      </c>
      <c r="E5" s="19" t="n">
        <v>0.28</v>
      </c>
      <c r="F5" s="18" t="n">
        <v>1.29</v>
      </c>
      <c r="G5" s="18" t="n">
        <v>1.91</v>
      </c>
      <c r="H5" s="18" t="n">
        <v>1.68</v>
      </c>
      <c r="I5" s="18" t="n">
        <v>3.78</v>
      </c>
      <c r="J5" s="18" t="n">
        <v>3.81</v>
      </c>
      <c r="K5" s="18" t="n">
        <v>5.96</v>
      </c>
      <c r="L5" s="18" t="n">
        <v>6.05</v>
      </c>
      <c r="M5" s="18" t="n">
        <v>1.54</v>
      </c>
      <c r="N5" s="18" t="n">
        <v>2.2</v>
      </c>
      <c r="O5" s="18" t="n">
        <v>3.34</v>
      </c>
      <c r="P5" s="18" t="n">
        <v>2.82</v>
      </c>
      <c r="Q5" s="20" t="n">
        <v>3.21</v>
      </c>
      <c r="R5" s="18" t="n">
        <v>2.05</v>
      </c>
      <c r="S5" s="20" t="n">
        <v>5.76</v>
      </c>
      <c r="T5" s="18" t="n">
        <v>2.6</v>
      </c>
      <c r="U5" s="18" t="n">
        <v>1.42</v>
      </c>
    </row>
    <row r="6" customFormat="false" ht="15" hidden="false" customHeight="false" outlineLevel="0" collapsed="false">
      <c r="A6" s="7" t="n">
        <v>3</v>
      </c>
      <c r="B6" s="8" t="s">
        <v>84</v>
      </c>
      <c r="C6" s="20" t="n">
        <v>6.77</v>
      </c>
      <c r="D6" s="18" t="n">
        <v>9.5</v>
      </c>
      <c r="E6" s="19" t="n">
        <v>0.11</v>
      </c>
      <c r="F6" s="18" t="n">
        <v>1.47</v>
      </c>
      <c r="G6" s="18" t="n">
        <v>1.83</v>
      </c>
      <c r="H6" s="18" t="n">
        <v>1.49</v>
      </c>
      <c r="I6" s="18" t="n">
        <v>4.14</v>
      </c>
      <c r="J6" s="18" t="n">
        <v>3.65</v>
      </c>
      <c r="K6" s="18" t="n">
        <v>6.86</v>
      </c>
      <c r="L6" s="18" t="n">
        <v>5.16</v>
      </c>
      <c r="M6" s="18" t="n">
        <v>1.83</v>
      </c>
      <c r="N6" s="18" t="n">
        <v>2.49</v>
      </c>
      <c r="O6" s="18" t="n">
        <v>2.72</v>
      </c>
      <c r="P6" s="18" t="n">
        <v>2.65</v>
      </c>
      <c r="Q6" s="20" t="n">
        <v>3.05</v>
      </c>
      <c r="R6" s="18" t="n">
        <v>2.32</v>
      </c>
      <c r="S6" s="18" t="n">
        <v>3.23</v>
      </c>
      <c r="T6" s="18" t="n">
        <v>2.61</v>
      </c>
      <c r="U6" s="18" t="n">
        <v>1.18</v>
      </c>
    </row>
    <row r="7" customFormat="false" ht="15" hidden="false" customHeight="false" outlineLevel="0" collapsed="false">
      <c r="A7" s="7" t="n">
        <v>4</v>
      </c>
      <c r="B7" s="8" t="s">
        <v>91</v>
      </c>
      <c r="C7" s="18" t="n">
        <v>2.1</v>
      </c>
      <c r="D7" s="18" t="n">
        <v>5.26</v>
      </c>
      <c r="E7" s="19" t="n">
        <v>0.05</v>
      </c>
      <c r="F7" s="18" t="n">
        <v>1.16</v>
      </c>
      <c r="G7" s="19" t="n">
        <v>0.84</v>
      </c>
      <c r="H7" s="18" t="n">
        <v>1.17</v>
      </c>
      <c r="I7" s="18" t="n">
        <v>3.31</v>
      </c>
      <c r="J7" s="18" t="n">
        <v>3.57</v>
      </c>
      <c r="K7" s="18" t="n">
        <v>6.34</v>
      </c>
      <c r="L7" s="18" t="n">
        <v>4.18</v>
      </c>
      <c r="M7" s="18" t="n">
        <v>1.46</v>
      </c>
      <c r="N7" s="18" t="n">
        <v>1.91</v>
      </c>
      <c r="O7" s="18" t="n">
        <v>2.66</v>
      </c>
      <c r="P7" s="18" t="n">
        <v>3</v>
      </c>
      <c r="Q7" s="20" t="n">
        <v>2.67</v>
      </c>
      <c r="R7" s="18" t="n">
        <v>1.91</v>
      </c>
      <c r="S7" s="18" t="n">
        <v>3.36</v>
      </c>
      <c r="T7" s="18" t="n">
        <v>2.41</v>
      </c>
      <c r="U7" s="18" t="n">
        <v>1.25</v>
      </c>
    </row>
    <row r="8" customFormat="false" ht="15" hidden="false" customHeight="false" outlineLevel="0" collapsed="false">
      <c r="A8" s="7" t="n">
        <v>5</v>
      </c>
      <c r="B8" s="8" t="s">
        <v>97</v>
      </c>
      <c r="C8" s="19" t="n">
        <v>0.87</v>
      </c>
      <c r="D8" s="18" t="n">
        <v>8.87</v>
      </c>
      <c r="E8" s="19" t="n">
        <v>0.41</v>
      </c>
      <c r="F8" s="18" t="n">
        <v>1.43</v>
      </c>
      <c r="G8" s="19" t="n">
        <v>0.85</v>
      </c>
      <c r="H8" s="18" t="n">
        <v>1.4</v>
      </c>
      <c r="I8" s="18" t="n">
        <v>2.28</v>
      </c>
      <c r="J8" s="18" t="n">
        <v>2.25</v>
      </c>
      <c r="K8" s="18" t="n">
        <v>2.39</v>
      </c>
      <c r="L8" s="18" t="n">
        <v>2.14</v>
      </c>
      <c r="M8" s="18" t="n">
        <v>2.13</v>
      </c>
      <c r="N8" s="18" t="n">
        <v>1.85</v>
      </c>
      <c r="O8" s="18" t="n">
        <v>2.98</v>
      </c>
      <c r="P8" s="18" t="n">
        <v>3.17</v>
      </c>
      <c r="Q8" s="20" t="n">
        <v>2.85</v>
      </c>
      <c r="R8" s="18" t="n">
        <v>1.55</v>
      </c>
      <c r="S8" s="18" t="n">
        <v>3.93</v>
      </c>
      <c r="T8" s="18" t="n">
        <v>2.21</v>
      </c>
      <c r="U8" s="18" t="n">
        <v>1.1</v>
      </c>
    </row>
    <row r="9" customFormat="false" ht="15" hidden="false" customHeight="false" outlineLevel="0" collapsed="false">
      <c r="A9" s="7" t="n">
        <v>6</v>
      </c>
      <c r="B9" s="8" t="s">
        <v>102</v>
      </c>
      <c r="C9" s="18" t="n">
        <v>2.39</v>
      </c>
      <c r="D9" s="18" t="n">
        <v>5.7</v>
      </c>
      <c r="E9" s="19" t="n">
        <v>0.42</v>
      </c>
      <c r="F9" s="18" t="n">
        <v>1.35</v>
      </c>
      <c r="G9" s="18" t="n">
        <v>1.13</v>
      </c>
      <c r="H9" s="18" t="n">
        <v>1.35</v>
      </c>
      <c r="I9" s="18" t="n">
        <v>4.56</v>
      </c>
      <c r="J9" s="18" t="n">
        <v>3.42</v>
      </c>
      <c r="K9" s="18" t="n">
        <v>7.4</v>
      </c>
      <c r="L9" s="18" t="n">
        <v>5.31</v>
      </c>
      <c r="M9" s="18" t="n">
        <v>1.85</v>
      </c>
      <c r="N9" s="18" t="n">
        <v>2.04</v>
      </c>
      <c r="O9" s="18" t="n">
        <v>2.66</v>
      </c>
      <c r="P9" s="18" t="n">
        <v>2.96</v>
      </c>
      <c r="Q9" s="20" t="n">
        <v>3.13</v>
      </c>
      <c r="R9" s="18" t="n">
        <v>2.66</v>
      </c>
      <c r="S9" s="18" t="n">
        <v>3.69</v>
      </c>
      <c r="T9" s="18" t="n">
        <v>2.74</v>
      </c>
      <c r="U9" s="18" t="n">
        <v>1.51</v>
      </c>
    </row>
    <row r="10" customFormat="false" ht="15" hidden="false" customHeight="false" outlineLevel="0" collapsed="false">
      <c r="A10" s="7" t="n">
        <v>7</v>
      </c>
      <c r="B10" s="8" t="s">
        <v>107</v>
      </c>
      <c r="C10" s="19" t="n">
        <v>0.85</v>
      </c>
      <c r="D10" s="18" t="n">
        <v>6.87</v>
      </c>
      <c r="E10" s="19" t="n">
        <v>0.4</v>
      </c>
      <c r="F10" s="18" t="n">
        <v>1.19</v>
      </c>
      <c r="G10" s="18" t="n">
        <v>1.87</v>
      </c>
      <c r="H10" s="18" t="n">
        <v>1.34</v>
      </c>
      <c r="I10" s="18" t="n">
        <v>3.58</v>
      </c>
      <c r="J10" s="18" t="n">
        <v>2.88</v>
      </c>
      <c r="K10" s="18" t="n">
        <v>5.97</v>
      </c>
      <c r="L10" s="18" t="n">
        <v>4.37</v>
      </c>
      <c r="M10" s="18" t="n">
        <v>1.92</v>
      </c>
      <c r="N10" s="18" t="n">
        <v>1.77</v>
      </c>
      <c r="O10" s="18" t="n">
        <v>2.72</v>
      </c>
      <c r="P10" s="18" t="n">
        <v>2.71</v>
      </c>
      <c r="Q10" s="20" t="n">
        <v>2.77</v>
      </c>
      <c r="R10" s="18" t="n">
        <v>1.78</v>
      </c>
      <c r="S10" s="20" t="n">
        <v>5.29</v>
      </c>
      <c r="T10" s="18" t="n">
        <v>2.34</v>
      </c>
      <c r="U10" s="18" t="n">
        <v>1.19</v>
      </c>
    </row>
    <row r="11" customFormat="false" ht="15" hidden="false" customHeight="false" outlineLevel="0" collapsed="false">
      <c r="A11" s="7" t="n">
        <v>8</v>
      </c>
      <c r="B11" s="8" t="s">
        <v>68</v>
      </c>
      <c r="C11" s="20" t="n">
        <v>5.58</v>
      </c>
      <c r="D11" s="18" t="n">
        <v>5.82</v>
      </c>
      <c r="E11" s="19" t="n">
        <v>0.06</v>
      </c>
      <c r="F11" s="18" t="n">
        <v>1.59</v>
      </c>
      <c r="G11" s="18" t="n">
        <v>12.47</v>
      </c>
      <c r="H11" s="18" t="n">
        <v>1.78</v>
      </c>
      <c r="I11" s="18" t="n">
        <v>2.46</v>
      </c>
      <c r="J11" s="18" t="n">
        <v>2.68</v>
      </c>
      <c r="K11" s="18" t="n">
        <v>3.87</v>
      </c>
      <c r="L11" s="18" t="n">
        <v>3.45</v>
      </c>
      <c r="M11" s="18" t="n">
        <v>2.28</v>
      </c>
      <c r="N11" s="18" t="n">
        <v>1.94</v>
      </c>
      <c r="O11" s="18" t="n">
        <v>3.91</v>
      </c>
      <c r="P11" s="18" t="n">
        <v>3.5</v>
      </c>
      <c r="Q11" s="20" t="n">
        <v>3.8</v>
      </c>
      <c r="R11" s="18" t="n">
        <v>2.37</v>
      </c>
      <c r="S11" s="20" t="n">
        <v>4.41</v>
      </c>
      <c r="T11" s="18" t="n">
        <v>2.04</v>
      </c>
      <c r="U11" s="18" t="n">
        <v>1.74</v>
      </c>
    </row>
    <row r="12" customFormat="false" ht="15" hidden="false" customHeight="false" outlineLevel="0" collapsed="false">
      <c r="A12" s="7" t="n">
        <v>9</v>
      </c>
      <c r="B12" s="8" t="s">
        <v>76</v>
      </c>
      <c r="C12" s="18" t="n">
        <v>1.97</v>
      </c>
      <c r="D12" s="18" t="n">
        <v>10.08</v>
      </c>
      <c r="E12" s="19" t="n">
        <v>0.14</v>
      </c>
      <c r="F12" s="18" t="n">
        <v>1.29</v>
      </c>
      <c r="G12" s="19" t="n">
        <v>0.91</v>
      </c>
      <c r="H12" s="18" t="n">
        <v>1.69</v>
      </c>
      <c r="I12" s="18" t="n">
        <v>3.78</v>
      </c>
      <c r="J12" s="18" t="n">
        <v>3.54</v>
      </c>
      <c r="K12" s="18" t="n">
        <v>6.04</v>
      </c>
      <c r="L12" s="18" t="n">
        <v>4.53</v>
      </c>
      <c r="M12" s="18" t="n">
        <v>2.45</v>
      </c>
      <c r="N12" s="18" t="n">
        <v>2.35</v>
      </c>
      <c r="O12" s="18" t="n">
        <v>2.68</v>
      </c>
      <c r="P12" s="18" t="n">
        <v>2.83</v>
      </c>
      <c r="Q12" s="20" t="n">
        <v>2.66</v>
      </c>
      <c r="R12" s="18" t="n">
        <v>2.08</v>
      </c>
      <c r="S12" s="18" t="n">
        <v>3.55</v>
      </c>
      <c r="T12" s="18" t="n">
        <v>2.41</v>
      </c>
      <c r="U12" s="18" t="n">
        <v>1.32</v>
      </c>
    </row>
    <row r="13" customFormat="false" ht="15" hidden="false" customHeight="false" outlineLevel="0" collapsed="false">
      <c r="A13" s="7" t="n">
        <v>10</v>
      </c>
      <c r="B13" s="8" t="s">
        <v>84</v>
      </c>
      <c r="C13" s="18" t="n">
        <v>1.2</v>
      </c>
      <c r="D13" s="18" t="n">
        <v>5.85</v>
      </c>
      <c r="E13" s="19" t="n">
        <v>0.07</v>
      </c>
      <c r="F13" s="19" t="n">
        <v>0.88</v>
      </c>
      <c r="G13" s="18" t="n">
        <v>6.71</v>
      </c>
      <c r="H13" s="18" t="n">
        <v>1.16</v>
      </c>
      <c r="I13" s="18" t="n">
        <v>3</v>
      </c>
      <c r="J13" s="18" t="n">
        <v>4.2</v>
      </c>
      <c r="K13" s="18" t="n">
        <v>6.29</v>
      </c>
      <c r="L13" s="18" t="n">
        <v>3.62</v>
      </c>
      <c r="M13" s="18" t="n">
        <v>1.72</v>
      </c>
      <c r="N13" s="18" t="n">
        <v>1.67</v>
      </c>
      <c r="O13" s="18" t="n">
        <v>2.7</v>
      </c>
      <c r="P13" s="18" t="n">
        <v>2.85</v>
      </c>
      <c r="Q13" s="20" t="n">
        <v>2.53</v>
      </c>
      <c r="R13" s="18" t="n">
        <v>1.7</v>
      </c>
      <c r="S13" s="20" t="n">
        <v>4.31</v>
      </c>
      <c r="T13" s="18" t="n">
        <v>1.93</v>
      </c>
      <c r="U13" s="19" t="n">
        <v>0.98</v>
      </c>
    </row>
    <row r="14" customFormat="false" ht="15" hidden="false" customHeight="false" outlineLevel="0" collapsed="false">
      <c r="A14" s="7" t="n">
        <v>11</v>
      </c>
      <c r="B14" s="8" t="s">
        <v>91</v>
      </c>
      <c r="C14" s="18" t="n">
        <v>2.05</v>
      </c>
      <c r="D14" s="18" t="n">
        <v>4.47</v>
      </c>
      <c r="E14" s="19" t="n">
        <v>0.06</v>
      </c>
      <c r="F14" s="18" t="n">
        <v>1.19</v>
      </c>
      <c r="G14" s="18" t="n">
        <v>1.94</v>
      </c>
      <c r="H14" s="18" t="n">
        <v>1.64</v>
      </c>
      <c r="I14" s="18" t="n">
        <v>3.63</v>
      </c>
      <c r="J14" s="18" t="n">
        <v>3.08</v>
      </c>
      <c r="K14" s="18" t="n">
        <v>6.31</v>
      </c>
      <c r="L14" s="18" t="n">
        <v>5.11</v>
      </c>
      <c r="M14" s="18" t="n">
        <v>1.7</v>
      </c>
      <c r="N14" s="18" t="n">
        <v>2.08</v>
      </c>
      <c r="O14" s="18" t="n">
        <v>3.14</v>
      </c>
      <c r="P14" s="18" t="n">
        <v>3.09</v>
      </c>
      <c r="Q14" s="20" t="n">
        <v>3.23</v>
      </c>
      <c r="R14" s="18" t="n">
        <v>2.07</v>
      </c>
      <c r="S14" s="18" t="n">
        <v>3.11</v>
      </c>
      <c r="T14" s="18" t="n">
        <v>2.63</v>
      </c>
      <c r="U14" s="18" t="n">
        <v>1.51</v>
      </c>
    </row>
    <row r="15" customFormat="false" ht="15" hidden="false" customHeight="false" outlineLevel="0" collapsed="false">
      <c r="A15" s="7" t="n">
        <v>12</v>
      </c>
      <c r="B15" s="8" t="s">
        <v>97</v>
      </c>
      <c r="C15" s="18" t="n">
        <v>2.34</v>
      </c>
      <c r="D15" s="18" t="n">
        <v>5.13</v>
      </c>
      <c r="E15" s="19" t="n">
        <v>0.11</v>
      </c>
      <c r="F15" s="18" t="n">
        <v>1.62</v>
      </c>
      <c r="G15" s="18" t="n">
        <v>2.1</v>
      </c>
      <c r="H15" s="18" t="n">
        <v>1.69</v>
      </c>
      <c r="I15" s="18" t="n">
        <v>2.59</v>
      </c>
      <c r="J15" s="18" t="n">
        <v>2.92</v>
      </c>
      <c r="K15" s="18" t="n">
        <v>3.08</v>
      </c>
      <c r="L15" s="18" t="n">
        <v>3.1</v>
      </c>
      <c r="M15" s="18" t="n">
        <v>1.62</v>
      </c>
      <c r="N15" s="18" t="n">
        <v>2.23</v>
      </c>
      <c r="O15" s="18" t="n">
        <v>3.37</v>
      </c>
      <c r="P15" s="18" t="n">
        <v>3.21</v>
      </c>
      <c r="Q15" s="20" t="n">
        <v>3.28</v>
      </c>
      <c r="R15" s="18" t="n">
        <v>2.33</v>
      </c>
      <c r="S15" s="20" t="n">
        <v>5.36</v>
      </c>
      <c r="T15" s="18" t="n">
        <v>2.45</v>
      </c>
      <c r="U15" s="18" t="n">
        <v>1.69</v>
      </c>
    </row>
    <row r="16" customFormat="false" ht="15" hidden="false" customHeight="false" outlineLevel="0" collapsed="false">
      <c r="A16" s="7" t="n">
        <v>13</v>
      </c>
      <c r="B16" s="8" t="s">
        <v>102</v>
      </c>
      <c r="C16" s="18" t="n">
        <v>2.51</v>
      </c>
      <c r="D16" s="18" t="n">
        <v>7.25</v>
      </c>
      <c r="E16" s="19" t="n">
        <v>0.09</v>
      </c>
      <c r="F16" s="18" t="n">
        <v>1.28</v>
      </c>
      <c r="G16" s="18" t="n">
        <v>1.17</v>
      </c>
      <c r="H16" s="18" t="n">
        <v>1.39</v>
      </c>
      <c r="I16" s="18" t="n">
        <v>3.68</v>
      </c>
      <c r="J16" s="18" t="n">
        <v>2.96</v>
      </c>
      <c r="K16" s="18" t="n">
        <v>6.52</v>
      </c>
      <c r="L16" s="18" t="n">
        <v>5.06</v>
      </c>
      <c r="M16" s="18" t="n">
        <v>2.25</v>
      </c>
      <c r="N16" s="18" t="n">
        <v>2.17</v>
      </c>
      <c r="O16" s="18" t="n">
        <v>2.87</v>
      </c>
      <c r="P16" s="18" t="n">
        <v>2.55</v>
      </c>
      <c r="Q16" s="20" t="n">
        <v>3.21</v>
      </c>
      <c r="R16" s="18" t="n">
        <v>1.76</v>
      </c>
      <c r="S16" s="20" t="n">
        <v>4.48</v>
      </c>
      <c r="T16" s="18" t="n">
        <v>2.22</v>
      </c>
      <c r="U16" s="18" t="n">
        <v>1.33</v>
      </c>
    </row>
    <row r="17" customFormat="false" ht="15" hidden="false" customHeight="false" outlineLevel="0" collapsed="false">
      <c r="A17" s="7" t="n">
        <v>14</v>
      </c>
      <c r="B17" s="8" t="s">
        <v>107</v>
      </c>
      <c r="C17" s="18" t="n">
        <v>2.11</v>
      </c>
      <c r="D17" s="18" t="n">
        <v>4.41</v>
      </c>
      <c r="E17" s="19" t="n">
        <v>0.07</v>
      </c>
      <c r="F17" s="19" t="n">
        <v>0.97</v>
      </c>
      <c r="G17" s="18" t="n">
        <v>2.98</v>
      </c>
      <c r="H17" s="18" t="n">
        <v>1.85</v>
      </c>
      <c r="I17" s="18" t="n">
        <v>4.01</v>
      </c>
      <c r="J17" s="18" t="n">
        <v>3.47</v>
      </c>
      <c r="K17" s="18" t="n">
        <v>6.48</v>
      </c>
      <c r="L17" s="18" t="n">
        <v>5.85</v>
      </c>
      <c r="M17" s="18" t="n">
        <v>2.19</v>
      </c>
      <c r="N17" s="18" t="n">
        <v>2.09</v>
      </c>
      <c r="O17" s="18" t="n">
        <v>3.46</v>
      </c>
      <c r="P17" s="18" t="n">
        <v>2.79</v>
      </c>
      <c r="Q17" s="20" t="n">
        <v>3.57</v>
      </c>
      <c r="R17" s="18" t="n">
        <v>2.03</v>
      </c>
      <c r="S17" s="18" t="n">
        <v>4.03</v>
      </c>
      <c r="T17" s="18" t="n">
        <v>2.46</v>
      </c>
      <c r="U17" s="18" t="n">
        <v>1.41</v>
      </c>
    </row>
    <row r="18" customFormat="false" ht="15" hidden="false" customHeight="false" outlineLevel="0" collapsed="false">
      <c r="A18" s="7" t="n">
        <v>15</v>
      </c>
      <c r="B18" s="8" t="s">
        <v>68</v>
      </c>
      <c r="C18" s="18" t="n">
        <v>2.13</v>
      </c>
      <c r="D18" s="18" t="n">
        <v>6.82</v>
      </c>
      <c r="E18" s="18" t="n">
        <v>1.1</v>
      </c>
      <c r="F18" s="18" t="n">
        <v>1.39</v>
      </c>
      <c r="G18" s="18" t="n">
        <v>2.01</v>
      </c>
      <c r="H18" s="18" t="n">
        <v>1.14</v>
      </c>
      <c r="I18" s="18" t="n">
        <v>2.16</v>
      </c>
      <c r="J18" s="18" t="n">
        <v>1.83</v>
      </c>
      <c r="K18" s="18" t="n">
        <v>2.14</v>
      </c>
      <c r="L18" s="18" t="n">
        <v>3.79</v>
      </c>
      <c r="M18" s="18" t="n">
        <v>1.5</v>
      </c>
      <c r="N18" s="18" t="n">
        <v>1.62</v>
      </c>
      <c r="O18" s="18" t="n">
        <v>2.39</v>
      </c>
      <c r="P18" s="18" t="n">
        <v>2.28</v>
      </c>
      <c r="Q18" s="20" t="n">
        <v>2.85</v>
      </c>
      <c r="R18" s="18" t="n">
        <v>1.54</v>
      </c>
      <c r="S18" s="18" t="n">
        <v>3.66</v>
      </c>
      <c r="T18" s="18" t="n">
        <v>2.37</v>
      </c>
      <c r="U18" s="19" t="n">
        <v>0.95</v>
      </c>
    </row>
    <row r="19" customFormat="false" ht="15" hidden="false" customHeight="false" outlineLevel="0" collapsed="false">
      <c r="A19" s="7" t="n">
        <v>16</v>
      </c>
      <c r="B19" s="8" t="s">
        <v>76</v>
      </c>
      <c r="C19" s="18" t="n">
        <v>2.05</v>
      </c>
      <c r="D19" s="18" t="n">
        <v>5.23</v>
      </c>
      <c r="E19" s="19" t="n">
        <v>0.29</v>
      </c>
      <c r="F19" s="18" t="n">
        <v>1.31</v>
      </c>
      <c r="G19" s="19" t="n">
        <v>0.93</v>
      </c>
      <c r="H19" s="18" t="n">
        <v>1.24</v>
      </c>
      <c r="I19" s="18" t="n">
        <v>3.36</v>
      </c>
      <c r="J19" s="18" t="n">
        <v>4.02</v>
      </c>
      <c r="K19" s="18" t="n">
        <v>6.19</v>
      </c>
      <c r="L19" s="18" t="n">
        <v>5.04</v>
      </c>
      <c r="M19" s="18" t="n">
        <v>1.69</v>
      </c>
      <c r="N19" s="18" t="n">
        <v>1.83</v>
      </c>
      <c r="O19" s="18" t="n">
        <v>2.63</v>
      </c>
      <c r="P19" s="18" t="n">
        <v>3.07</v>
      </c>
      <c r="Q19" s="20" t="n">
        <v>2.71</v>
      </c>
      <c r="R19" s="18" t="n">
        <v>1.92</v>
      </c>
      <c r="S19" s="18" t="n">
        <v>4.25</v>
      </c>
      <c r="T19" s="18" t="n">
        <v>2.5</v>
      </c>
      <c r="U19" s="18" t="n">
        <v>1.45</v>
      </c>
    </row>
    <row r="20" customFormat="false" ht="15" hidden="false" customHeight="false" outlineLevel="0" collapsed="false">
      <c r="A20" s="7" t="n">
        <v>17</v>
      </c>
      <c r="B20" s="8" t="s">
        <v>84</v>
      </c>
      <c r="C20" s="18" t="n">
        <v>2.25</v>
      </c>
      <c r="D20" s="18" t="n">
        <v>4.54</v>
      </c>
      <c r="E20" s="19" t="n">
        <v>0.11</v>
      </c>
      <c r="F20" s="18" t="n">
        <v>1.48</v>
      </c>
      <c r="G20" s="18" t="n">
        <v>11.14</v>
      </c>
      <c r="H20" s="18" t="n">
        <v>1.79</v>
      </c>
      <c r="I20" s="18" t="n">
        <v>3.85</v>
      </c>
      <c r="J20" s="18" t="n">
        <v>3.38</v>
      </c>
      <c r="K20" s="18" t="n">
        <v>6.05</v>
      </c>
      <c r="L20" s="18" t="n">
        <v>4.53</v>
      </c>
      <c r="M20" s="18" t="n">
        <v>2.32</v>
      </c>
      <c r="N20" s="18" t="n">
        <v>2.65</v>
      </c>
      <c r="O20" s="18" t="n">
        <v>3.17</v>
      </c>
      <c r="P20" s="18" t="n">
        <v>3.25</v>
      </c>
      <c r="Q20" s="20" t="n">
        <v>2.9</v>
      </c>
      <c r="R20" s="18" t="n">
        <v>1.78</v>
      </c>
      <c r="S20" s="20" t="n">
        <v>5.12</v>
      </c>
      <c r="T20" s="18" t="n">
        <v>2.67</v>
      </c>
      <c r="U20" s="18" t="n">
        <v>1.25</v>
      </c>
    </row>
    <row r="21" customFormat="false" ht="15" hidden="false" customHeight="false" outlineLevel="0" collapsed="false">
      <c r="A21" s="7" t="n">
        <v>18</v>
      </c>
      <c r="B21" s="8" t="s">
        <v>91</v>
      </c>
      <c r="C21" s="18" t="n">
        <v>1.73</v>
      </c>
      <c r="D21" s="18" t="n">
        <v>4.79</v>
      </c>
      <c r="E21" s="19" t="n">
        <v>0.84</v>
      </c>
      <c r="F21" s="18" t="n">
        <v>1.37</v>
      </c>
      <c r="G21" s="18" t="n">
        <v>1.13</v>
      </c>
      <c r="H21" s="18" t="n">
        <v>1.07</v>
      </c>
      <c r="I21" s="18" t="n">
        <v>3.64</v>
      </c>
      <c r="J21" s="18" t="n">
        <v>3.88</v>
      </c>
      <c r="K21" s="18" t="n">
        <v>6.36</v>
      </c>
      <c r="L21" s="18" t="n">
        <v>5.54</v>
      </c>
      <c r="M21" s="18" t="n">
        <v>2.14</v>
      </c>
      <c r="N21" s="18" t="n">
        <v>1.9</v>
      </c>
      <c r="O21" s="18" t="n">
        <v>2.51</v>
      </c>
      <c r="P21" s="18" t="n">
        <v>2.94</v>
      </c>
      <c r="Q21" s="20" t="n">
        <v>2.89</v>
      </c>
      <c r="R21" s="18" t="n">
        <v>1.99</v>
      </c>
      <c r="S21" s="18" t="n">
        <v>4.25</v>
      </c>
      <c r="T21" s="18" t="n">
        <v>2.53</v>
      </c>
      <c r="U21" s="18" t="n">
        <v>1.18</v>
      </c>
    </row>
    <row r="22" customFormat="false" ht="15" hidden="false" customHeight="false" outlineLevel="0" collapsed="false">
      <c r="A22" s="7" t="n">
        <v>19</v>
      </c>
      <c r="B22" s="8" t="s">
        <v>97</v>
      </c>
      <c r="C22" s="20" t="n">
        <v>6.39</v>
      </c>
      <c r="D22" s="18" t="n">
        <v>8.72</v>
      </c>
      <c r="E22" s="19" t="n">
        <v>0.39</v>
      </c>
      <c r="F22" s="18" t="n">
        <v>1.54</v>
      </c>
      <c r="G22" s="18" t="n">
        <v>4.38</v>
      </c>
      <c r="H22" s="18" t="n">
        <v>1.59</v>
      </c>
      <c r="I22" s="18" t="n">
        <v>2.09</v>
      </c>
      <c r="J22" s="18" t="n">
        <v>2.28</v>
      </c>
      <c r="K22" s="18" t="n">
        <v>3</v>
      </c>
      <c r="L22" s="18" t="n">
        <v>2.93</v>
      </c>
      <c r="M22" s="18" t="n">
        <v>2.01</v>
      </c>
      <c r="N22" s="18" t="n">
        <v>1.79</v>
      </c>
      <c r="O22" s="18" t="n">
        <v>2.37</v>
      </c>
      <c r="P22" s="18" t="n">
        <v>2.74</v>
      </c>
      <c r="Q22" s="20" t="n">
        <v>2.32</v>
      </c>
      <c r="R22" s="18" t="n">
        <v>2.28</v>
      </c>
      <c r="S22" s="20" t="n">
        <v>4.64</v>
      </c>
      <c r="T22" s="18" t="n">
        <v>2.73</v>
      </c>
      <c r="U22" s="18" t="n">
        <v>1.35</v>
      </c>
    </row>
    <row r="23" customFormat="false" ht="15" hidden="false" customHeight="false" outlineLevel="0" collapsed="false">
      <c r="A23" s="7" t="n">
        <v>20</v>
      </c>
      <c r="B23" s="8" t="s">
        <v>102</v>
      </c>
      <c r="C23" s="18" t="n">
        <v>1.75</v>
      </c>
      <c r="D23" s="18" t="n">
        <v>5.07</v>
      </c>
      <c r="E23" s="19" t="n">
        <v>0.45</v>
      </c>
      <c r="F23" s="18" t="n">
        <v>1.16</v>
      </c>
      <c r="G23" s="18" t="n">
        <v>10.24</v>
      </c>
      <c r="H23" s="18" t="n">
        <v>1.6</v>
      </c>
      <c r="I23" s="18" t="n">
        <v>4.15</v>
      </c>
      <c r="J23" s="18" t="n">
        <v>2.62</v>
      </c>
      <c r="K23" s="18" t="n">
        <v>6.47</v>
      </c>
      <c r="L23" s="18" t="n">
        <v>5.26</v>
      </c>
      <c r="M23" s="18" t="n">
        <v>2.53</v>
      </c>
      <c r="N23" s="18" t="n">
        <v>2.49</v>
      </c>
      <c r="O23" s="18" t="n">
        <v>3.35</v>
      </c>
      <c r="P23" s="18" t="n">
        <v>3.18</v>
      </c>
      <c r="Q23" s="20" t="n">
        <v>2.79</v>
      </c>
      <c r="R23" s="18" t="n">
        <v>1.99</v>
      </c>
      <c r="S23" s="20" t="n">
        <v>5.19</v>
      </c>
      <c r="T23" s="18" t="n">
        <v>3.68</v>
      </c>
      <c r="U23" s="18" t="n">
        <v>1.36</v>
      </c>
    </row>
    <row r="24" customFormat="false" ht="15" hidden="false" customHeight="false" outlineLevel="0" collapsed="false">
      <c r="A24" s="7" t="n">
        <v>21</v>
      </c>
      <c r="B24" s="8" t="s">
        <v>107</v>
      </c>
      <c r="C24" s="18" t="n">
        <v>1.98</v>
      </c>
      <c r="D24" s="18" t="n">
        <v>9.17</v>
      </c>
      <c r="E24" s="18" t="n">
        <v>1.34</v>
      </c>
      <c r="F24" s="18" t="n">
        <v>1.91</v>
      </c>
      <c r="G24" s="18" t="n">
        <v>7.51</v>
      </c>
      <c r="H24" s="18" t="n">
        <v>1.53</v>
      </c>
      <c r="I24" s="18" t="n">
        <v>4.06</v>
      </c>
      <c r="J24" s="18" t="n">
        <v>3.45</v>
      </c>
      <c r="K24" s="18" t="n">
        <v>6.48</v>
      </c>
      <c r="L24" s="18" t="n">
        <v>5.08</v>
      </c>
      <c r="M24" s="18" t="n">
        <v>2.5</v>
      </c>
      <c r="N24" s="18" t="n">
        <v>2.02</v>
      </c>
      <c r="O24" s="18" t="n">
        <v>2.7</v>
      </c>
      <c r="P24" s="18" t="n">
        <v>3.22</v>
      </c>
      <c r="Q24" s="20" t="n">
        <v>2.5</v>
      </c>
      <c r="R24" s="18" t="n">
        <v>1.98</v>
      </c>
      <c r="S24" s="18" t="n">
        <v>4.15</v>
      </c>
      <c r="T24" s="18" t="n">
        <v>2.47</v>
      </c>
      <c r="U24" s="18" t="n">
        <v>1.06</v>
      </c>
    </row>
    <row r="25" customFormat="false" ht="15" hidden="false" customHeight="false" outlineLevel="0" collapsed="false">
      <c r="A25" s="7" t="n">
        <v>22</v>
      </c>
      <c r="B25" s="8" t="s">
        <v>68</v>
      </c>
      <c r="C25" s="18" t="n">
        <v>1.95</v>
      </c>
      <c r="D25" s="18" t="n">
        <v>7.92</v>
      </c>
      <c r="E25" s="19" t="n">
        <v>0.51</v>
      </c>
      <c r="F25" s="18" t="n">
        <v>1.71</v>
      </c>
      <c r="G25" s="18" t="n">
        <v>1.46</v>
      </c>
      <c r="H25" s="18" t="n">
        <v>2.06</v>
      </c>
      <c r="I25" s="18" t="n">
        <v>2.79</v>
      </c>
      <c r="J25" s="18" t="n">
        <v>2.3</v>
      </c>
      <c r="K25" s="18" t="n">
        <v>3.44</v>
      </c>
      <c r="L25" s="18" t="n">
        <v>2.6</v>
      </c>
      <c r="M25" s="18" t="n">
        <v>2.49</v>
      </c>
      <c r="N25" s="18" t="n">
        <v>2.23</v>
      </c>
      <c r="O25" s="18" t="n">
        <v>3.79</v>
      </c>
      <c r="P25" s="18" t="n">
        <v>3.51</v>
      </c>
      <c r="Q25" s="20" t="n">
        <v>3.1</v>
      </c>
      <c r="R25" s="18" t="n">
        <v>2.23</v>
      </c>
      <c r="S25" s="20" t="n">
        <v>4.98</v>
      </c>
      <c r="T25" s="18" t="n">
        <v>2.31</v>
      </c>
      <c r="U25" s="18" t="n">
        <v>1.98</v>
      </c>
    </row>
    <row r="26" customFormat="false" ht="15" hidden="false" customHeight="false" outlineLevel="0" collapsed="false">
      <c r="A26" s="7" t="n">
        <v>23</v>
      </c>
      <c r="B26" s="8" t="s">
        <v>76</v>
      </c>
      <c r="C26" s="18" t="n">
        <v>2</v>
      </c>
      <c r="D26" s="18" t="n">
        <v>6.87</v>
      </c>
      <c r="E26" s="19" t="n">
        <v>0.11</v>
      </c>
      <c r="F26" s="18" t="n">
        <v>1.48</v>
      </c>
      <c r="G26" s="18" t="n">
        <v>7.01</v>
      </c>
      <c r="H26" s="18" t="n">
        <v>2.02</v>
      </c>
      <c r="I26" s="18" t="n">
        <v>3.92</v>
      </c>
      <c r="J26" s="18" t="n">
        <v>3.32</v>
      </c>
      <c r="K26" s="18" t="n">
        <v>6.43</v>
      </c>
      <c r="L26" s="18" t="n">
        <v>4.66</v>
      </c>
      <c r="M26" s="18" t="n">
        <v>4.06</v>
      </c>
      <c r="N26" s="18" t="n">
        <v>2.28</v>
      </c>
      <c r="O26" s="20" t="n">
        <v>4.3</v>
      </c>
      <c r="P26" s="18" t="n">
        <v>3.64</v>
      </c>
      <c r="Q26" s="20" t="n">
        <v>3.6</v>
      </c>
      <c r="R26" s="18" t="n">
        <v>2.39</v>
      </c>
      <c r="S26" s="18" t="n">
        <v>3.43</v>
      </c>
      <c r="T26" s="18" t="n">
        <v>2.31</v>
      </c>
      <c r="U26" s="18" t="n">
        <v>2.22</v>
      </c>
    </row>
    <row r="27" customFormat="false" ht="15" hidden="false" customHeight="false" outlineLevel="0" collapsed="false">
      <c r="A27" s="7" t="n">
        <v>24</v>
      </c>
      <c r="B27" s="8" t="s">
        <v>84</v>
      </c>
      <c r="C27" s="18" t="n">
        <v>1.57</v>
      </c>
      <c r="D27" s="18" t="n">
        <v>5.36</v>
      </c>
      <c r="E27" s="19" t="n">
        <v>0.13</v>
      </c>
      <c r="F27" s="18" t="n">
        <v>2.24</v>
      </c>
      <c r="G27" s="19" t="n">
        <v>0.73</v>
      </c>
      <c r="H27" s="18" t="n">
        <v>1.25</v>
      </c>
      <c r="I27" s="18" t="n">
        <v>4.47</v>
      </c>
      <c r="J27" s="18" t="n">
        <v>2.84</v>
      </c>
      <c r="K27" s="18" t="n">
        <v>5.9</v>
      </c>
      <c r="L27" s="18" t="n">
        <v>5.34</v>
      </c>
      <c r="M27" s="18" t="n">
        <v>1.43</v>
      </c>
      <c r="N27" s="18" t="n">
        <v>2.86</v>
      </c>
      <c r="O27" s="18" t="n">
        <v>3.12</v>
      </c>
      <c r="P27" s="18" t="n">
        <v>3.16</v>
      </c>
      <c r="Q27" s="20" t="n">
        <v>3.02</v>
      </c>
      <c r="R27" s="18" t="n">
        <v>2.48</v>
      </c>
      <c r="S27" s="18" t="n">
        <v>3.35</v>
      </c>
      <c r="T27" s="18" t="n">
        <v>3.14</v>
      </c>
      <c r="U27" s="18" t="n">
        <v>1.48</v>
      </c>
    </row>
    <row r="28" customFormat="false" ht="15" hidden="false" customHeight="false" outlineLevel="0" collapsed="false">
      <c r="A28" s="7" t="n">
        <v>25</v>
      </c>
      <c r="B28" s="8" t="s">
        <v>91</v>
      </c>
      <c r="C28" s="18" t="n">
        <v>1.83</v>
      </c>
      <c r="D28" s="18" t="n">
        <v>6.64</v>
      </c>
      <c r="E28" s="19" t="n">
        <v>0.37</v>
      </c>
      <c r="F28" s="18" t="n">
        <v>1.27</v>
      </c>
      <c r="G28" s="18" t="n">
        <v>11.61</v>
      </c>
      <c r="H28" s="18" t="n">
        <v>1.33</v>
      </c>
      <c r="I28" s="18" t="n">
        <v>4.07</v>
      </c>
      <c r="J28" s="18" t="n">
        <v>3.15</v>
      </c>
      <c r="K28" s="18" t="n">
        <v>6.35</v>
      </c>
      <c r="L28" s="18" t="n">
        <v>4.5</v>
      </c>
      <c r="M28" s="18" t="n">
        <v>2.54</v>
      </c>
      <c r="N28" s="18" t="n">
        <v>2.26</v>
      </c>
      <c r="O28" s="18" t="n">
        <v>3.25</v>
      </c>
      <c r="P28" s="18" t="n">
        <v>3.18</v>
      </c>
      <c r="Q28" s="20" t="n">
        <v>2.78</v>
      </c>
      <c r="R28" s="18" t="n">
        <v>1.98</v>
      </c>
      <c r="S28" s="18" t="n">
        <v>4.19</v>
      </c>
      <c r="T28" s="18" t="n">
        <v>2.41</v>
      </c>
      <c r="U28" s="18" t="n">
        <v>1.15</v>
      </c>
    </row>
    <row r="29" customFormat="false" ht="15" hidden="false" customHeight="false" outlineLevel="0" collapsed="false">
      <c r="A29" s="7" t="n">
        <v>26</v>
      </c>
      <c r="B29" s="8" t="s">
        <v>97</v>
      </c>
      <c r="C29" s="18" t="n">
        <v>1.44</v>
      </c>
      <c r="D29" s="18" t="n">
        <v>6.12</v>
      </c>
      <c r="E29" s="19" t="n">
        <v>0.08</v>
      </c>
      <c r="F29" s="18" t="n">
        <v>1.53</v>
      </c>
      <c r="G29" s="18" t="n">
        <v>2.17</v>
      </c>
      <c r="H29" s="18" t="n">
        <v>1.79</v>
      </c>
      <c r="I29" s="18" t="n">
        <v>2.59</v>
      </c>
      <c r="J29" s="18" t="n">
        <v>2.05</v>
      </c>
      <c r="K29" s="18" t="n">
        <v>3.37</v>
      </c>
      <c r="L29" s="18" t="n">
        <v>2.33</v>
      </c>
      <c r="M29" s="18" t="n">
        <v>3.91</v>
      </c>
      <c r="N29" s="18" t="n">
        <v>2.1</v>
      </c>
      <c r="O29" s="18" t="n">
        <v>3.7</v>
      </c>
      <c r="P29" s="18" t="n">
        <v>4.21</v>
      </c>
      <c r="Q29" s="20" t="n">
        <v>3.35</v>
      </c>
      <c r="R29" s="18" t="n">
        <v>2.15</v>
      </c>
      <c r="S29" s="18" t="n">
        <v>3.69</v>
      </c>
      <c r="T29" s="18" t="n">
        <v>2.43</v>
      </c>
      <c r="U29" s="18" t="n">
        <v>2.02</v>
      </c>
    </row>
    <row r="30" customFormat="false" ht="15" hidden="false" customHeight="false" outlineLevel="0" collapsed="false">
      <c r="A30" s="7" t="n">
        <v>27</v>
      </c>
      <c r="B30" s="8" t="s">
        <v>102</v>
      </c>
      <c r="C30" s="18" t="n">
        <v>1.39</v>
      </c>
      <c r="D30" s="18" t="n">
        <v>7.82</v>
      </c>
      <c r="E30" s="18" t="n">
        <v>1.54</v>
      </c>
      <c r="F30" s="18" t="n">
        <v>1.78</v>
      </c>
      <c r="G30" s="18" t="n">
        <v>1.93</v>
      </c>
      <c r="H30" s="18" t="n">
        <v>1.7</v>
      </c>
      <c r="I30" s="18" t="n">
        <v>4.12</v>
      </c>
      <c r="J30" s="18" t="n">
        <v>3.38</v>
      </c>
      <c r="K30" s="18" t="n">
        <v>6.79</v>
      </c>
      <c r="L30" s="18" t="n">
        <v>5.53</v>
      </c>
      <c r="M30" s="18" t="n">
        <v>2.72</v>
      </c>
      <c r="N30" s="18" t="n">
        <v>2.02</v>
      </c>
      <c r="O30" s="18" t="n">
        <v>2.32</v>
      </c>
      <c r="P30" s="18" t="n">
        <v>3.01</v>
      </c>
      <c r="Q30" s="20" t="n">
        <v>2.41</v>
      </c>
      <c r="R30" s="18" t="n">
        <v>2.35</v>
      </c>
      <c r="S30" s="18" t="n">
        <v>3.43</v>
      </c>
      <c r="T30" s="18" t="n">
        <v>2.86</v>
      </c>
      <c r="U30" s="18" t="n">
        <v>1.22</v>
      </c>
    </row>
    <row r="31" customFormat="false" ht="15" hidden="false" customHeight="false" outlineLevel="0" collapsed="false">
      <c r="A31" s="7" t="n">
        <v>28</v>
      </c>
      <c r="B31" s="8" t="s">
        <v>107</v>
      </c>
      <c r="C31" s="18" t="n">
        <v>1.72</v>
      </c>
      <c r="D31" s="18" t="n">
        <v>6.66</v>
      </c>
      <c r="E31" s="19" t="n">
        <v>0.08</v>
      </c>
      <c r="F31" s="18" t="n">
        <v>1.11</v>
      </c>
      <c r="G31" s="18" t="n">
        <v>1.91</v>
      </c>
      <c r="H31" s="18" t="n">
        <v>1.59</v>
      </c>
      <c r="I31" s="18" t="n">
        <v>3.38</v>
      </c>
      <c r="J31" s="18" t="n">
        <v>3.18</v>
      </c>
      <c r="K31" s="18" t="n">
        <v>5.74</v>
      </c>
      <c r="L31" s="18" t="n">
        <v>4.39</v>
      </c>
      <c r="M31" s="18" t="n">
        <v>1.69</v>
      </c>
      <c r="N31" s="18" t="n">
        <v>1.85</v>
      </c>
      <c r="O31" s="18" t="n">
        <v>3.1</v>
      </c>
      <c r="P31" s="18" t="n">
        <v>2.68</v>
      </c>
      <c r="Q31" s="20" t="n">
        <v>2.98</v>
      </c>
      <c r="R31" s="18" t="n">
        <v>1.9</v>
      </c>
      <c r="S31" s="18" t="n">
        <v>4.14</v>
      </c>
      <c r="T31" s="18" t="n">
        <v>1.89</v>
      </c>
      <c r="U31" s="18" t="n">
        <v>1.23</v>
      </c>
    </row>
    <row r="32" customFormat="false" ht="15" hidden="false" customHeight="false" outlineLevel="0" collapsed="false">
      <c r="A32" s="7" t="n">
        <v>29</v>
      </c>
      <c r="B32" s="8" t="s">
        <v>68</v>
      </c>
      <c r="C32" s="18" t="n">
        <v>2.24</v>
      </c>
      <c r="D32" s="18" t="n">
        <v>6.28</v>
      </c>
      <c r="E32" s="19" t="n">
        <v>0.09</v>
      </c>
      <c r="F32" s="18" t="n">
        <v>1.55</v>
      </c>
      <c r="G32" s="18" t="n">
        <v>2.19</v>
      </c>
      <c r="H32" s="18" t="n">
        <v>1.34</v>
      </c>
      <c r="I32" s="18" t="n">
        <v>1.44</v>
      </c>
      <c r="J32" s="18" t="n">
        <v>3.08</v>
      </c>
      <c r="K32" s="18" t="n">
        <v>2.47</v>
      </c>
      <c r="L32" s="18" t="n">
        <v>1.42</v>
      </c>
      <c r="M32" s="18" t="n">
        <v>1.98</v>
      </c>
      <c r="N32" s="18" t="n">
        <v>1.53</v>
      </c>
      <c r="O32" s="18" t="n">
        <v>2.62</v>
      </c>
      <c r="P32" s="18" t="n">
        <v>2.69</v>
      </c>
      <c r="Q32" s="20" t="n">
        <v>2.41</v>
      </c>
      <c r="R32" s="18" t="n">
        <v>1.86</v>
      </c>
      <c r="S32" s="20" t="n">
        <v>4.38</v>
      </c>
      <c r="T32" s="18" t="n">
        <v>1.94</v>
      </c>
      <c r="U32" s="18" t="n">
        <v>1.39</v>
      </c>
    </row>
    <row r="33" customFormat="false" ht="15" hidden="false" customHeight="false" outlineLevel="0" collapsed="false">
      <c r="A33" s="7" t="n">
        <v>30</v>
      </c>
      <c r="B33" s="8" t="s">
        <v>76</v>
      </c>
      <c r="C33" s="18" t="n">
        <v>2.34</v>
      </c>
      <c r="D33" s="18" t="n">
        <v>4.9</v>
      </c>
      <c r="E33" s="19" t="n">
        <v>0.24</v>
      </c>
      <c r="F33" s="18" t="n">
        <v>1.46</v>
      </c>
      <c r="G33" s="18" t="n">
        <v>1.82</v>
      </c>
      <c r="H33" s="18" t="n">
        <v>1.14</v>
      </c>
      <c r="I33" s="18" t="n">
        <v>3.86</v>
      </c>
      <c r="J33" s="18" t="n">
        <v>2.49</v>
      </c>
      <c r="K33" s="18" t="n">
        <v>5.46</v>
      </c>
      <c r="L33" s="18" t="n">
        <v>4.29</v>
      </c>
      <c r="M33" s="18" t="n">
        <v>1.75</v>
      </c>
      <c r="N33" s="18" t="n">
        <v>2.14</v>
      </c>
      <c r="O33" s="18" t="n">
        <v>2.53</v>
      </c>
      <c r="P33" s="18" t="n">
        <v>2.89</v>
      </c>
      <c r="Q33" s="20" t="n">
        <v>2.54</v>
      </c>
      <c r="R33" s="18" t="n">
        <v>1.9</v>
      </c>
      <c r="S33" s="18" t="n">
        <v>3.37</v>
      </c>
      <c r="T33" s="18" t="n">
        <v>2.72</v>
      </c>
      <c r="U33" s="18" t="n">
        <v>1.28</v>
      </c>
    </row>
    <row r="34" customFormat="false" ht="15" hidden="false" customHeight="false" outlineLevel="0" collapsed="false">
      <c r="A34" s="7" t="n">
        <v>31</v>
      </c>
      <c r="B34" s="8" t="s">
        <v>84</v>
      </c>
      <c r="C34" s="18" t="n">
        <v>2.38</v>
      </c>
      <c r="D34" s="18" t="n">
        <v>4.93</v>
      </c>
      <c r="E34" s="19" t="n">
        <v>0.22</v>
      </c>
      <c r="F34" s="18" t="n">
        <v>1.05</v>
      </c>
      <c r="G34" s="18" t="n">
        <v>1.46</v>
      </c>
      <c r="H34" s="18" t="n">
        <v>1.55</v>
      </c>
      <c r="I34" s="18" t="n">
        <v>3.78</v>
      </c>
      <c r="J34" s="18" t="n">
        <v>3.42</v>
      </c>
      <c r="K34" s="18" t="n">
        <v>6.01</v>
      </c>
      <c r="L34" s="18" t="n">
        <v>4.63</v>
      </c>
      <c r="M34" s="18" t="n">
        <v>1.62</v>
      </c>
      <c r="N34" s="18" t="n">
        <v>2.54</v>
      </c>
      <c r="O34" s="18" t="n">
        <v>2.68</v>
      </c>
      <c r="P34" s="18" t="n">
        <v>2.42</v>
      </c>
      <c r="Q34" s="20" t="n">
        <v>2.48</v>
      </c>
      <c r="R34" s="18" t="n">
        <v>1.71</v>
      </c>
      <c r="S34" s="18" t="n">
        <v>3.94</v>
      </c>
      <c r="T34" s="18" t="n">
        <v>2.77</v>
      </c>
      <c r="U34" s="18" t="n">
        <v>1.01</v>
      </c>
    </row>
    <row r="35" customFormat="false" ht="15" hidden="false" customHeight="false" outlineLevel="0" collapsed="false">
      <c r="A35" s="7" t="n">
        <v>32</v>
      </c>
      <c r="B35" s="8" t="s">
        <v>91</v>
      </c>
      <c r="C35" s="18" t="n">
        <v>2.21</v>
      </c>
      <c r="D35" s="18" t="n">
        <v>5.63</v>
      </c>
      <c r="E35" s="19" t="n">
        <v>0.28</v>
      </c>
      <c r="F35" s="18" t="n">
        <v>1.29</v>
      </c>
      <c r="G35" s="18" t="n">
        <v>5.56</v>
      </c>
      <c r="H35" s="18" t="n">
        <v>1.65</v>
      </c>
      <c r="I35" s="18" t="n">
        <v>3.66</v>
      </c>
      <c r="J35" s="18" t="n">
        <v>4.68</v>
      </c>
      <c r="K35" s="18" t="n">
        <v>6.9</v>
      </c>
      <c r="L35" s="18" t="n">
        <v>4.89</v>
      </c>
      <c r="M35" s="18" t="n">
        <v>2.23</v>
      </c>
      <c r="N35" s="18" t="n">
        <v>2.01</v>
      </c>
      <c r="O35" s="18" t="n">
        <v>2.92</v>
      </c>
      <c r="P35" s="18" t="n">
        <v>3.32</v>
      </c>
      <c r="Q35" s="20" t="n">
        <v>2.71</v>
      </c>
      <c r="R35" s="18" t="n">
        <v>1.96</v>
      </c>
      <c r="S35" s="20" t="n">
        <v>4.67</v>
      </c>
      <c r="T35" s="18" t="n">
        <v>2.61</v>
      </c>
      <c r="U35" s="18" t="n">
        <v>1.51</v>
      </c>
    </row>
    <row r="36" customFormat="false" ht="15" hidden="false" customHeight="false" outlineLevel="0" collapsed="false">
      <c r="A36" s="7" t="n">
        <v>33</v>
      </c>
      <c r="B36" s="8" t="s">
        <v>97</v>
      </c>
      <c r="C36" s="18" t="n">
        <v>2.31</v>
      </c>
      <c r="D36" s="18" t="n">
        <v>8.21</v>
      </c>
      <c r="E36" s="19" t="n">
        <v>0.08</v>
      </c>
      <c r="F36" s="18" t="n">
        <v>1.49</v>
      </c>
      <c r="G36" s="19" t="n">
        <v>0.98</v>
      </c>
      <c r="H36" s="18" t="n">
        <v>1.3</v>
      </c>
      <c r="I36" s="18" t="n">
        <v>2</v>
      </c>
      <c r="J36" s="18" t="n">
        <v>2.06</v>
      </c>
      <c r="K36" s="18" t="n">
        <v>2.19</v>
      </c>
      <c r="L36" s="18" t="n">
        <v>2.92</v>
      </c>
      <c r="M36" s="18" t="n">
        <v>1.91</v>
      </c>
      <c r="N36" s="18" t="n">
        <v>1.99</v>
      </c>
      <c r="O36" s="18" t="n">
        <v>2.75</v>
      </c>
      <c r="P36" s="18" t="n">
        <v>2.38</v>
      </c>
      <c r="Q36" s="20" t="n">
        <v>2.99</v>
      </c>
      <c r="R36" s="18" t="n">
        <v>1.65</v>
      </c>
      <c r="S36" s="18" t="n">
        <v>3.55</v>
      </c>
      <c r="T36" s="18" t="n">
        <v>2.15</v>
      </c>
      <c r="U36" s="19" t="n">
        <v>0.97</v>
      </c>
    </row>
    <row r="37" customFormat="false" ht="15" hidden="false" customHeight="false" outlineLevel="0" collapsed="false">
      <c r="A37" s="7" t="n">
        <v>34</v>
      </c>
      <c r="B37" s="8" t="s">
        <v>102</v>
      </c>
      <c r="C37" s="18" t="n">
        <v>2.12</v>
      </c>
      <c r="D37" s="18" t="n">
        <v>5.24</v>
      </c>
      <c r="E37" s="19" t="n">
        <v>0.07</v>
      </c>
      <c r="F37" s="18" t="n">
        <v>1.05</v>
      </c>
      <c r="G37" s="18" t="n">
        <v>1.17</v>
      </c>
      <c r="H37" s="18" t="n">
        <v>1.59</v>
      </c>
      <c r="I37" s="18" t="n">
        <v>3.81</v>
      </c>
      <c r="J37" s="18" t="n">
        <v>3.66</v>
      </c>
      <c r="K37" s="18" t="n">
        <v>6.26</v>
      </c>
      <c r="L37" s="18" t="n">
        <v>4.49</v>
      </c>
      <c r="M37" s="18" t="n">
        <v>1.84</v>
      </c>
      <c r="N37" s="18" t="n">
        <v>2.22</v>
      </c>
      <c r="O37" s="18" t="n">
        <v>2.67</v>
      </c>
      <c r="P37" s="18" t="n">
        <v>2.8</v>
      </c>
      <c r="Q37" s="20" t="n">
        <v>2.66</v>
      </c>
      <c r="R37" s="18" t="n">
        <v>1.8</v>
      </c>
      <c r="S37" s="18" t="n">
        <v>3.66</v>
      </c>
      <c r="T37" s="18" t="n">
        <v>2.45</v>
      </c>
      <c r="U37" s="18" t="n">
        <v>1.18</v>
      </c>
    </row>
    <row r="38" customFormat="false" ht="15" hidden="false" customHeight="false" outlineLevel="0" collapsed="false">
      <c r="A38" s="7" t="n">
        <v>35</v>
      </c>
      <c r="B38" s="8" t="s">
        <v>107</v>
      </c>
      <c r="C38" s="20" t="n">
        <v>5.29</v>
      </c>
      <c r="D38" s="18" t="n">
        <v>7.34</v>
      </c>
      <c r="E38" s="18" t="n">
        <v>1.7</v>
      </c>
      <c r="F38" s="18" t="n">
        <v>1.54</v>
      </c>
      <c r="G38" s="18" t="n">
        <v>1.33</v>
      </c>
      <c r="H38" s="18" t="n">
        <v>1.98</v>
      </c>
      <c r="I38" s="18" t="n">
        <v>4.39</v>
      </c>
      <c r="J38" s="18" t="n">
        <v>3.5</v>
      </c>
      <c r="K38" s="18" t="n">
        <v>6.58</v>
      </c>
      <c r="L38" s="18" t="n">
        <v>5.61</v>
      </c>
      <c r="M38" s="18" t="n">
        <v>2.16</v>
      </c>
      <c r="N38" s="18" t="n">
        <v>2.38</v>
      </c>
      <c r="O38" s="18" t="n">
        <v>3.22</v>
      </c>
      <c r="P38" s="18" t="n">
        <v>3.23</v>
      </c>
      <c r="Q38" s="20" t="n">
        <v>2.71</v>
      </c>
      <c r="R38" s="18" t="n">
        <v>2.32</v>
      </c>
      <c r="S38" s="20" t="n">
        <v>4.33</v>
      </c>
      <c r="T38" s="18" t="n">
        <v>2.69</v>
      </c>
      <c r="U38" s="18" t="n">
        <v>1.47</v>
      </c>
    </row>
    <row r="39" customFormat="false" ht="15" hidden="false" customHeight="false" outlineLevel="0" collapsed="false">
      <c r="A39" s="7" t="n">
        <v>36</v>
      </c>
      <c r="B39" s="8" t="s">
        <v>68</v>
      </c>
      <c r="C39" s="18" t="n">
        <v>2.27</v>
      </c>
      <c r="D39" s="18" t="n">
        <v>4.85</v>
      </c>
      <c r="E39" s="19" t="n">
        <v>0.36</v>
      </c>
      <c r="F39" s="18" t="n">
        <v>1.35</v>
      </c>
      <c r="G39" s="18" t="n">
        <v>1.1</v>
      </c>
      <c r="H39" s="18" t="n">
        <v>1.77</v>
      </c>
      <c r="I39" s="18" t="n">
        <v>3.16</v>
      </c>
      <c r="J39" s="18" t="n">
        <v>2.54</v>
      </c>
      <c r="K39" s="18" t="n">
        <v>3.1</v>
      </c>
      <c r="L39" s="18" t="n">
        <v>3.1</v>
      </c>
      <c r="M39" s="18" t="n">
        <v>1.93</v>
      </c>
      <c r="N39" s="18" t="n">
        <v>1.76</v>
      </c>
      <c r="O39" s="18" t="n">
        <v>3.21</v>
      </c>
      <c r="P39" s="18" t="n">
        <v>3.04</v>
      </c>
      <c r="Q39" s="20" t="n">
        <v>3.35</v>
      </c>
      <c r="R39" s="18" t="n">
        <v>2.12</v>
      </c>
      <c r="S39" s="20" t="n">
        <v>6.07</v>
      </c>
      <c r="T39" s="18" t="n">
        <v>2.36</v>
      </c>
      <c r="U39" s="18" t="n">
        <v>1.75</v>
      </c>
    </row>
    <row r="40" customFormat="false" ht="15" hidden="false" customHeight="false" outlineLevel="0" collapsed="false">
      <c r="A40" s="7" t="n">
        <v>37</v>
      </c>
      <c r="B40" s="8" t="s">
        <v>76</v>
      </c>
      <c r="C40" s="19" t="n">
        <v>0.97</v>
      </c>
      <c r="D40" s="18" t="n">
        <v>4.43</v>
      </c>
      <c r="E40" s="19" t="n">
        <v>0.36</v>
      </c>
      <c r="F40" s="18" t="n">
        <v>1.26</v>
      </c>
      <c r="G40" s="18" t="n">
        <v>7.09</v>
      </c>
      <c r="H40" s="18" t="n">
        <v>1.41</v>
      </c>
      <c r="I40" s="18" t="n">
        <v>3.59</v>
      </c>
      <c r="J40" s="18" t="n">
        <v>3.54</v>
      </c>
      <c r="K40" s="18" t="n">
        <v>6.11</v>
      </c>
      <c r="L40" s="18" t="n">
        <v>4.27</v>
      </c>
      <c r="M40" s="18" t="n">
        <v>1.77</v>
      </c>
      <c r="N40" s="18" t="n">
        <v>1.88</v>
      </c>
      <c r="O40" s="18" t="n">
        <v>2.9</v>
      </c>
      <c r="P40" s="18" t="n">
        <v>2.95</v>
      </c>
      <c r="Q40" s="20" t="n">
        <v>2.66</v>
      </c>
      <c r="R40" s="18" t="n">
        <v>1.68</v>
      </c>
      <c r="S40" s="20" t="n">
        <v>5.24</v>
      </c>
      <c r="T40" s="18" t="n">
        <v>2.31</v>
      </c>
      <c r="U40" s="18" t="n">
        <v>1.19</v>
      </c>
    </row>
    <row r="41" customFormat="false" ht="15" hidden="false" customHeight="false" outlineLevel="0" collapsed="false">
      <c r="A41" s="7" t="n">
        <v>38</v>
      </c>
      <c r="B41" s="8" t="s">
        <v>84</v>
      </c>
      <c r="C41" s="20" t="n">
        <v>5.52</v>
      </c>
      <c r="D41" s="18" t="n">
        <v>5.75</v>
      </c>
      <c r="E41" s="19" t="n">
        <v>0.06</v>
      </c>
      <c r="F41" s="18" t="n">
        <v>1.46</v>
      </c>
      <c r="G41" s="18" t="n">
        <v>12.15</v>
      </c>
      <c r="H41" s="18" t="n">
        <v>1.32</v>
      </c>
      <c r="I41" s="18" t="n">
        <v>3.93</v>
      </c>
      <c r="J41" s="18" t="n">
        <v>3.46</v>
      </c>
      <c r="K41" s="18" t="n">
        <v>7.31</v>
      </c>
      <c r="L41" s="18" t="n">
        <v>5.89</v>
      </c>
      <c r="M41" s="18" t="n">
        <v>2.17</v>
      </c>
      <c r="N41" s="18" t="n">
        <v>2.11</v>
      </c>
      <c r="O41" s="18" t="n">
        <v>3.48</v>
      </c>
      <c r="P41" s="18" t="n">
        <v>3.4</v>
      </c>
      <c r="Q41" s="20" t="n">
        <v>3.85</v>
      </c>
      <c r="R41" s="18" t="n">
        <v>2.42</v>
      </c>
      <c r="S41" s="18" t="n">
        <v>3.25</v>
      </c>
      <c r="T41" s="18" t="n">
        <v>2.46</v>
      </c>
      <c r="U41" s="18" t="n">
        <v>1.45</v>
      </c>
    </row>
    <row r="42" customFormat="false" ht="15" hidden="false" customHeight="false" outlineLevel="0" collapsed="false">
      <c r="A42" s="7" t="n">
        <v>39</v>
      </c>
      <c r="B42" s="8" t="s">
        <v>91</v>
      </c>
      <c r="C42" s="18" t="n">
        <v>2.08</v>
      </c>
      <c r="D42" s="18" t="n">
        <v>9.11</v>
      </c>
      <c r="E42" s="19" t="n">
        <v>0.31</v>
      </c>
      <c r="F42" s="18" t="n">
        <v>1.46</v>
      </c>
      <c r="G42" s="18" t="n">
        <v>13.86</v>
      </c>
      <c r="H42" s="18" t="n">
        <v>1.61</v>
      </c>
      <c r="I42" s="18" t="n">
        <v>3.81</v>
      </c>
      <c r="J42" s="18" t="n">
        <v>2.76</v>
      </c>
      <c r="K42" s="18" t="n">
        <v>6.57</v>
      </c>
      <c r="L42" s="18" t="n">
        <v>4.99</v>
      </c>
      <c r="M42" s="18" t="n">
        <v>2.51</v>
      </c>
      <c r="N42" s="18" t="n">
        <v>2.5</v>
      </c>
      <c r="O42" s="18" t="n">
        <v>2.69</v>
      </c>
      <c r="P42" s="18" t="n">
        <v>3.23</v>
      </c>
      <c r="Q42" s="20" t="n">
        <v>2.63</v>
      </c>
      <c r="R42" s="18" t="n">
        <v>2.49</v>
      </c>
      <c r="S42" s="18" t="n">
        <v>3.3</v>
      </c>
      <c r="T42" s="18" t="n">
        <v>3.59</v>
      </c>
      <c r="U42" s="18" t="n">
        <v>1.03</v>
      </c>
    </row>
    <row r="43" customFormat="false" ht="15" hidden="false" customHeight="false" outlineLevel="0" collapsed="false">
      <c r="A43" s="7" t="n">
        <v>40</v>
      </c>
      <c r="B43" s="8" t="s">
        <v>97</v>
      </c>
      <c r="C43" s="18" t="n">
        <v>1.61</v>
      </c>
      <c r="D43" s="18" t="n">
        <v>5.43</v>
      </c>
      <c r="E43" s="19" t="n">
        <v>0.07</v>
      </c>
      <c r="F43" s="18" t="n">
        <v>1.12</v>
      </c>
      <c r="G43" s="18" t="n">
        <v>6.3</v>
      </c>
      <c r="H43" s="18" t="n">
        <v>1.71</v>
      </c>
      <c r="I43" s="18" t="n">
        <v>2.02</v>
      </c>
      <c r="J43" s="18" t="n">
        <v>3.04</v>
      </c>
      <c r="K43" s="18" t="n">
        <v>3.37</v>
      </c>
      <c r="L43" s="18" t="n">
        <v>2.37</v>
      </c>
      <c r="M43" s="18" t="n">
        <v>2.1</v>
      </c>
      <c r="N43" s="18" t="n">
        <v>1.65</v>
      </c>
      <c r="O43" s="18" t="n">
        <v>3.16</v>
      </c>
      <c r="P43" s="18" t="n">
        <v>3.15</v>
      </c>
      <c r="Q43" s="20" t="n">
        <v>3.07</v>
      </c>
      <c r="R43" s="18" t="n">
        <v>2.02</v>
      </c>
      <c r="S43" s="20" t="n">
        <v>6.16</v>
      </c>
      <c r="T43" s="18" t="n">
        <v>1.96</v>
      </c>
      <c r="U43" s="18" t="n">
        <v>1.58</v>
      </c>
    </row>
    <row r="44" customFormat="false" ht="15" hidden="false" customHeight="false" outlineLevel="0" collapsed="false">
      <c r="A44" s="7" t="n">
        <v>41</v>
      </c>
      <c r="B44" s="8" t="s">
        <v>102</v>
      </c>
      <c r="C44" s="18" t="n">
        <v>1.36</v>
      </c>
      <c r="D44" s="18" t="n">
        <v>5.83</v>
      </c>
      <c r="E44" s="19" t="n">
        <v>0.12</v>
      </c>
      <c r="F44" s="18" t="n">
        <v>1.31</v>
      </c>
      <c r="G44" s="18" t="n">
        <v>1.76</v>
      </c>
      <c r="H44" s="18" t="n">
        <v>1.69</v>
      </c>
      <c r="I44" s="18" t="n">
        <v>3.79</v>
      </c>
      <c r="J44" s="18" t="n">
        <v>3.1</v>
      </c>
      <c r="K44" s="18" t="n">
        <v>6.65</v>
      </c>
      <c r="L44" s="18" t="n">
        <v>5.38</v>
      </c>
      <c r="M44" s="18" t="n">
        <v>1.76</v>
      </c>
      <c r="N44" s="18" t="n">
        <v>2.06</v>
      </c>
      <c r="O44" s="18" t="n">
        <v>3.12</v>
      </c>
      <c r="P44" s="18" t="n">
        <v>3.29</v>
      </c>
      <c r="Q44" s="20" t="n">
        <v>3.38</v>
      </c>
      <c r="R44" s="18" t="n">
        <v>2.32</v>
      </c>
      <c r="S44" s="18" t="n">
        <v>2.82</v>
      </c>
      <c r="T44" s="18" t="n">
        <v>2.79</v>
      </c>
      <c r="U44" s="18" t="n">
        <v>1.57</v>
      </c>
    </row>
    <row r="45" customFormat="false" ht="15" hidden="false" customHeight="false" outlineLevel="0" collapsed="false">
      <c r="A45" s="7" t="n">
        <v>42</v>
      </c>
      <c r="B45" s="8" t="s">
        <v>107</v>
      </c>
      <c r="C45" s="18" t="n">
        <v>1.81</v>
      </c>
      <c r="D45" s="18" t="n">
        <v>5.6</v>
      </c>
      <c r="E45" s="19" t="n">
        <v>0.1</v>
      </c>
      <c r="F45" s="18" t="n">
        <v>1.36</v>
      </c>
      <c r="G45" s="18" t="n">
        <v>2.33</v>
      </c>
      <c r="H45" s="18" t="n">
        <v>1.32</v>
      </c>
      <c r="I45" s="18" t="n">
        <v>3.71</v>
      </c>
      <c r="J45" s="18" t="n">
        <v>3.43</v>
      </c>
      <c r="K45" s="18" t="n">
        <v>6.21</v>
      </c>
      <c r="L45" s="18" t="n">
        <v>4.56</v>
      </c>
      <c r="M45" s="18" t="n">
        <v>1.63</v>
      </c>
      <c r="N45" s="18" t="n">
        <v>2.1</v>
      </c>
      <c r="O45" s="18" t="n">
        <v>2.5</v>
      </c>
      <c r="P45" s="18" t="n">
        <v>2.98</v>
      </c>
      <c r="Q45" s="20" t="n">
        <v>2.59</v>
      </c>
      <c r="R45" s="18" t="n">
        <v>1.95</v>
      </c>
      <c r="S45" s="20" t="n">
        <v>4.93</v>
      </c>
      <c r="T45" s="18" t="n">
        <v>2.94</v>
      </c>
      <c r="U45" s="18" t="n">
        <v>1.23</v>
      </c>
    </row>
    <row r="46" customFormat="false" ht="15" hidden="false" customHeight="false" outlineLevel="0" collapsed="false">
      <c r="A46" s="7" t="n">
        <v>43</v>
      </c>
      <c r="B46" s="8" t="s">
        <v>68</v>
      </c>
      <c r="C46" s="18" t="n">
        <v>2.31</v>
      </c>
      <c r="D46" s="18" t="n">
        <v>7.73</v>
      </c>
      <c r="E46" s="19" t="n">
        <v>0.17</v>
      </c>
      <c r="F46" s="18" t="n">
        <v>1.31</v>
      </c>
      <c r="G46" s="18" t="n">
        <v>1.24</v>
      </c>
      <c r="H46" s="18" t="n">
        <v>1.43</v>
      </c>
      <c r="I46" s="18" t="n">
        <v>2.5</v>
      </c>
      <c r="J46" s="18" t="n">
        <v>2.88</v>
      </c>
      <c r="K46" s="18" t="n">
        <v>3.1</v>
      </c>
      <c r="L46" s="18" t="n">
        <v>2.14</v>
      </c>
      <c r="M46" s="18" t="n">
        <v>2.29</v>
      </c>
      <c r="N46" s="18" t="n">
        <v>2</v>
      </c>
      <c r="O46" s="18" t="n">
        <v>2.82</v>
      </c>
      <c r="P46" s="18" t="n">
        <v>2.65</v>
      </c>
      <c r="Q46" s="20" t="n">
        <v>2.76</v>
      </c>
      <c r="R46" s="18" t="n">
        <v>1.97</v>
      </c>
      <c r="S46" s="20" t="n">
        <v>4.66</v>
      </c>
      <c r="T46" s="18" t="n">
        <v>2.35</v>
      </c>
      <c r="U46" s="18" t="n">
        <v>1.55</v>
      </c>
    </row>
    <row r="47" customFormat="false" ht="15" hidden="false" customHeight="false" outlineLevel="0" collapsed="false">
      <c r="A47" s="7" t="n">
        <v>44</v>
      </c>
      <c r="B47" s="8" t="s">
        <v>76</v>
      </c>
      <c r="C47" s="18" t="n">
        <v>2.58</v>
      </c>
      <c r="D47" s="18" t="n">
        <v>5.31</v>
      </c>
      <c r="E47" s="19" t="n">
        <v>0.06</v>
      </c>
      <c r="F47" s="18" t="n">
        <v>1.31</v>
      </c>
      <c r="G47" s="18" t="n">
        <v>2.31</v>
      </c>
      <c r="H47" s="18" t="n">
        <v>1.65</v>
      </c>
      <c r="I47" s="18" t="n">
        <v>3.76</v>
      </c>
      <c r="J47" s="18" t="n">
        <v>3.63</v>
      </c>
      <c r="K47" s="18" t="n">
        <v>7.58</v>
      </c>
      <c r="L47" s="18" t="n">
        <v>5.89</v>
      </c>
      <c r="M47" s="18" t="n">
        <v>1.81</v>
      </c>
      <c r="N47" s="18" t="n">
        <v>1.94</v>
      </c>
      <c r="O47" s="18" t="n">
        <v>3.35</v>
      </c>
      <c r="P47" s="18" t="n">
        <v>3.01</v>
      </c>
      <c r="Q47" s="20" t="n">
        <v>3.71</v>
      </c>
      <c r="R47" s="18" t="n">
        <v>2.66</v>
      </c>
      <c r="S47" s="18" t="n">
        <v>3.35</v>
      </c>
      <c r="T47" s="18" t="n">
        <v>2.46</v>
      </c>
      <c r="U47" s="18" t="n">
        <v>1.6</v>
      </c>
    </row>
    <row r="48" customFormat="false" ht="15" hidden="false" customHeight="false" outlineLevel="0" collapsed="false">
      <c r="A48" s="7" t="n">
        <v>45</v>
      </c>
      <c r="B48" s="8" t="s">
        <v>84</v>
      </c>
      <c r="C48" s="18" t="n">
        <v>2.23</v>
      </c>
      <c r="D48" s="18" t="n">
        <v>5.09</v>
      </c>
      <c r="E48" s="18" t="n">
        <v>1.36</v>
      </c>
      <c r="F48" s="18" t="n">
        <v>2.08</v>
      </c>
      <c r="G48" s="18" t="n">
        <v>1.32</v>
      </c>
      <c r="H48" s="18" t="n">
        <v>1.24</v>
      </c>
      <c r="I48" s="18" t="n">
        <v>3.69</v>
      </c>
      <c r="J48" s="18" t="n">
        <v>3.97</v>
      </c>
      <c r="K48" s="18" t="n">
        <v>6.01</v>
      </c>
      <c r="L48" s="18" t="n">
        <v>5.68</v>
      </c>
      <c r="M48" s="18" t="n">
        <v>1.22</v>
      </c>
      <c r="N48" s="18" t="n">
        <v>1.91</v>
      </c>
      <c r="O48" s="18" t="n">
        <v>2.62</v>
      </c>
      <c r="P48" s="18" t="n">
        <v>2.57</v>
      </c>
      <c r="Q48" s="20" t="n">
        <v>2.36</v>
      </c>
      <c r="R48" s="18" t="n">
        <v>1.95</v>
      </c>
      <c r="S48" s="20" t="n">
        <v>5.55</v>
      </c>
      <c r="T48" s="18" t="n">
        <v>2.52</v>
      </c>
      <c r="U48" s="18" t="n">
        <v>1.25</v>
      </c>
    </row>
    <row r="49" customFormat="false" ht="15" hidden="false" customHeight="false" outlineLevel="0" collapsed="false">
      <c r="A49" s="7" t="n">
        <v>46</v>
      </c>
      <c r="B49" s="8" t="s">
        <v>91</v>
      </c>
      <c r="C49" s="18" t="n">
        <v>2.24</v>
      </c>
      <c r="D49" s="18" t="n">
        <v>7.26</v>
      </c>
      <c r="E49" s="19" t="n">
        <v>0.05</v>
      </c>
      <c r="F49" s="18" t="n">
        <v>1.24</v>
      </c>
      <c r="G49" s="19" t="n">
        <v>0.76</v>
      </c>
      <c r="H49" s="18" t="n">
        <v>1.16</v>
      </c>
      <c r="I49" s="18" t="n">
        <v>3.35</v>
      </c>
      <c r="J49" s="18" t="n">
        <v>3.61</v>
      </c>
      <c r="K49" s="18" t="n">
        <v>6.57</v>
      </c>
      <c r="L49" s="18" t="n">
        <v>4.18</v>
      </c>
      <c r="M49" s="18" t="n">
        <v>2.05</v>
      </c>
      <c r="N49" s="18" t="n">
        <v>1.87</v>
      </c>
      <c r="O49" s="18" t="n">
        <v>2.43</v>
      </c>
      <c r="P49" s="18" t="n">
        <v>3.08</v>
      </c>
      <c r="Q49" s="20" t="n">
        <v>2.66</v>
      </c>
      <c r="R49" s="18" t="n">
        <v>1.99</v>
      </c>
      <c r="S49" s="18" t="n">
        <v>3.17</v>
      </c>
      <c r="T49" s="18" t="n">
        <v>2.41</v>
      </c>
      <c r="U49" s="18" t="n">
        <v>1.44</v>
      </c>
    </row>
    <row r="50" customFormat="false" ht="15" hidden="false" customHeight="false" outlineLevel="0" collapsed="false">
      <c r="A50" s="7" t="n">
        <v>47</v>
      </c>
      <c r="B50" s="8" t="s">
        <v>97</v>
      </c>
      <c r="C50" s="18" t="n">
        <v>1.95</v>
      </c>
      <c r="D50" s="18" t="n">
        <v>6.02</v>
      </c>
      <c r="E50" s="18" t="n">
        <v>1.35</v>
      </c>
      <c r="F50" s="18" t="n">
        <v>1.36</v>
      </c>
      <c r="G50" s="18" t="n">
        <v>1.9</v>
      </c>
      <c r="H50" s="18" t="n">
        <v>1.63</v>
      </c>
      <c r="I50" s="18" t="n">
        <v>2.26</v>
      </c>
      <c r="J50" s="18" t="n">
        <v>2.38</v>
      </c>
      <c r="K50" s="18" t="n">
        <v>2.42</v>
      </c>
      <c r="L50" s="18" t="n">
        <v>3.16</v>
      </c>
      <c r="M50" s="18" t="n">
        <v>2.6</v>
      </c>
      <c r="N50" s="18" t="n">
        <v>2.07</v>
      </c>
      <c r="O50" s="18" t="n">
        <v>2.53</v>
      </c>
      <c r="P50" s="18" t="n">
        <v>2.63</v>
      </c>
      <c r="Q50" s="20" t="n">
        <v>2.58</v>
      </c>
      <c r="R50" s="18" t="n">
        <v>1.65</v>
      </c>
      <c r="S50" s="18" t="n">
        <v>3.77</v>
      </c>
      <c r="T50" s="18" t="n">
        <v>2.34</v>
      </c>
      <c r="U50" s="19" t="n">
        <v>0.98</v>
      </c>
    </row>
    <row r="51" customFormat="false" ht="15" hidden="false" customHeight="false" outlineLevel="0" collapsed="false">
      <c r="A51" s="7" t="n">
        <v>48</v>
      </c>
      <c r="B51" s="8" t="s">
        <v>102</v>
      </c>
      <c r="C51" s="18" t="n">
        <v>2.32</v>
      </c>
      <c r="D51" s="18" t="n">
        <v>6.86</v>
      </c>
      <c r="E51" s="19" t="n">
        <v>0.08</v>
      </c>
      <c r="F51" s="18" t="n">
        <v>1.47</v>
      </c>
      <c r="G51" s="18" t="n">
        <v>1.42</v>
      </c>
      <c r="H51" s="18" t="n">
        <v>1.23</v>
      </c>
      <c r="I51" s="18" t="n">
        <v>3.81</v>
      </c>
      <c r="J51" s="18" t="n">
        <v>3.29</v>
      </c>
      <c r="K51" s="18" t="n">
        <v>6.4</v>
      </c>
      <c r="L51" s="18" t="n">
        <v>5.58</v>
      </c>
      <c r="M51" s="18" t="n">
        <v>1.88</v>
      </c>
      <c r="N51" s="18" t="n">
        <v>2.03</v>
      </c>
      <c r="O51" s="18" t="n">
        <v>2.92</v>
      </c>
      <c r="P51" s="18" t="n">
        <v>2.72</v>
      </c>
      <c r="Q51" s="20" t="n">
        <v>3.45</v>
      </c>
      <c r="R51" s="18" t="n">
        <v>2.03</v>
      </c>
      <c r="S51" s="18" t="n">
        <v>3.3</v>
      </c>
      <c r="T51" s="18" t="n">
        <v>2.42</v>
      </c>
      <c r="U51" s="18" t="n">
        <v>1.23</v>
      </c>
    </row>
    <row r="52" customFormat="false" ht="15" hidden="false" customHeight="false" outlineLevel="0" collapsed="false">
      <c r="A52" s="7" t="n">
        <v>49</v>
      </c>
      <c r="B52" s="8" t="s">
        <v>107</v>
      </c>
      <c r="C52" s="18" t="n">
        <v>2.16</v>
      </c>
      <c r="D52" s="18" t="n">
        <v>4.09</v>
      </c>
      <c r="E52" s="19" t="n">
        <v>0.28</v>
      </c>
      <c r="F52" s="18" t="n">
        <v>1.1</v>
      </c>
      <c r="G52" s="18" t="n">
        <v>1.27</v>
      </c>
      <c r="H52" s="18" t="n">
        <v>1.27</v>
      </c>
      <c r="I52" s="18" t="n">
        <v>3.1</v>
      </c>
      <c r="J52" s="18" t="n">
        <v>4.28</v>
      </c>
      <c r="K52" s="18" t="n">
        <v>6.39</v>
      </c>
      <c r="L52" s="18" t="n">
        <v>4.56</v>
      </c>
      <c r="M52" s="18" t="n">
        <v>1.24</v>
      </c>
      <c r="N52" s="18" t="n">
        <v>1.72</v>
      </c>
      <c r="O52" s="18" t="n">
        <v>2.6</v>
      </c>
      <c r="P52" s="18" t="n">
        <v>2.79</v>
      </c>
      <c r="Q52" s="20" t="n">
        <v>2.56</v>
      </c>
      <c r="R52" s="18" t="n">
        <v>1.78</v>
      </c>
      <c r="S52" s="20" t="n">
        <v>5.26</v>
      </c>
      <c r="T52" s="18" t="n">
        <v>2.26</v>
      </c>
      <c r="U52" s="18" t="n">
        <v>1.21</v>
      </c>
    </row>
    <row r="53" customFormat="false" ht="15" hidden="false" customHeight="false" outlineLevel="0" collapsed="false">
      <c r="A53" s="7" t="n">
        <v>50</v>
      </c>
      <c r="B53" s="8" t="s">
        <v>68</v>
      </c>
      <c r="C53" s="18" t="n">
        <v>2.15</v>
      </c>
      <c r="D53" s="18" t="n">
        <v>4.21</v>
      </c>
      <c r="E53" s="19" t="n">
        <v>0.45</v>
      </c>
      <c r="F53" s="18" t="n">
        <v>1.37</v>
      </c>
      <c r="G53" s="18" t="n">
        <v>9.8</v>
      </c>
      <c r="H53" s="18" t="n">
        <v>1.98</v>
      </c>
      <c r="I53" s="18" t="n">
        <v>2.72</v>
      </c>
      <c r="J53" s="18" t="n">
        <v>1.95</v>
      </c>
      <c r="K53" s="18" t="n">
        <v>2.42</v>
      </c>
      <c r="L53" s="18" t="n">
        <v>2.71</v>
      </c>
      <c r="M53" s="18" t="n">
        <v>2.74</v>
      </c>
      <c r="N53" s="18" t="n">
        <v>2.47</v>
      </c>
      <c r="O53" s="18" t="n">
        <v>3.72</v>
      </c>
      <c r="P53" s="18" t="n">
        <v>3.17</v>
      </c>
      <c r="Q53" s="20" t="n">
        <v>2.74</v>
      </c>
      <c r="R53" s="18" t="n">
        <v>1.86</v>
      </c>
      <c r="S53" s="20" t="n">
        <v>4.59</v>
      </c>
      <c r="T53" s="18" t="n">
        <v>2.75</v>
      </c>
      <c r="U53" s="18" t="n">
        <v>1.58</v>
      </c>
    </row>
    <row r="54" customFormat="false" ht="15" hidden="false" customHeight="false" outlineLevel="0" collapsed="false">
      <c r="A54" s="7" t="n">
        <v>51</v>
      </c>
      <c r="B54" s="8" t="s">
        <v>76</v>
      </c>
      <c r="C54" s="18" t="n">
        <v>2.43</v>
      </c>
      <c r="D54" s="18" t="n">
        <v>7.12</v>
      </c>
      <c r="E54" s="19" t="n">
        <v>0.12</v>
      </c>
      <c r="F54" s="18" t="n">
        <v>2.08</v>
      </c>
      <c r="G54" s="18" t="n">
        <v>1.2</v>
      </c>
      <c r="H54" s="18" t="n">
        <v>1.29</v>
      </c>
      <c r="I54" s="18" t="n">
        <v>3.83</v>
      </c>
      <c r="J54" s="18" t="n">
        <v>3.62</v>
      </c>
      <c r="K54" s="18" t="n">
        <v>6.34</v>
      </c>
      <c r="L54" s="18" t="n">
        <v>4.02</v>
      </c>
      <c r="M54" s="18" t="n">
        <v>1.66</v>
      </c>
      <c r="N54" s="18" t="n">
        <v>1.97</v>
      </c>
      <c r="O54" s="18" t="n">
        <v>2.84</v>
      </c>
      <c r="P54" s="18" t="n">
        <v>3.03</v>
      </c>
      <c r="Q54" s="20" t="n">
        <v>2.73</v>
      </c>
      <c r="R54" s="18" t="n">
        <v>2.08</v>
      </c>
      <c r="S54" s="18" t="n">
        <v>4.13</v>
      </c>
      <c r="T54" s="18" t="n">
        <v>2.32</v>
      </c>
      <c r="U54" s="18" t="n">
        <v>1.21</v>
      </c>
    </row>
    <row r="55" customFormat="false" ht="15" hidden="false" customHeight="false" outlineLevel="0" collapsed="false">
      <c r="A55" s="7" t="n">
        <v>52</v>
      </c>
      <c r="B55" s="8" t="s">
        <v>84</v>
      </c>
      <c r="C55" s="20" t="n">
        <v>6.49</v>
      </c>
      <c r="D55" s="18" t="n">
        <v>6.5</v>
      </c>
      <c r="E55" s="19" t="n">
        <v>0.24</v>
      </c>
      <c r="F55" s="18" t="n">
        <v>1.23</v>
      </c>
      <c r="G55" s="18" t="n">
        <v>2.18</v>
      </c>
      <c r="H55" s="18" t="n">
        <v>1.66</v>
      </c>
      <c r="I55" s="18" t="n">
        <v>3.67</v>
      </c>
      <c r="J55" s="18" t="n">
        <v>3.46</v>
      </c>
      <c r="K55" s="18" t="n">
        <v>6.93</v>
      </c>
      <c r="L55" s="18" t="n">
        <v>5.11</v>
      </c>
      <c r="M55" s="18" t="n">
        <v>1.86</v>
      </c>
      <c r="N55" s="18" t="n">
        <v>2.01</v>
      </c>
      <c r="O55" s="18" t="n">
        <v>3.05</v>
      </c>
      <c r="P55" s="18" t="n">
        <v>3.19</v>
      </c>
      <c r="Q55" s="20" t="n">
        <v>3.35</v>
      </c>
      <c r="R55" s="18" t="n">
        <v>2.5</v>
      </c>
      <c r="S55" s="18" t="n">
        <v>3.49</v>
      </c>
      <c r="T55" s="18" t="n">
        <v>2.1</v>
      </c>
      <c r="U55" s="18" t="n">
        <v>1.65</v>
      </c>
    </row>
    <row r="56" customFormat="false" ht="15" hidden="false" customHeight="false" outlineLevel="0" collapsed="false">
      <c r="A56" s="7" t="n">
        <v>53</v>
      </c>
      <c r="B56" s="8" t="s">
        <v>91</v>
      </c>
      <c r="C56" s="18" t="n">
        <v>1.02</v>
      </c>
      <c r="D56" s="18" t="n">
        <v>8.5</v>
      </c>
      <c r="E56" s="19" t="n">
        <v>0.25</v>
      </c>
      <c r="F56" s="18" t="n">
        <v>1.58</v>
      </c>
      <c r="G56" s="18" t="n">
        <v>6.38</v>
      </c>
      <c r="H56" s="18" t="n">
        <v>1.7</v>
      </c>
      <c r="I56" s="18" t="n">
        <v>3.6</v>
      </c>
      <c r="J56" s="18" t="n">
        <v>2.87</v>
      </c>
      <c r="K56" s="18" t="n">
        <v>6.22</v>
      </c>
      <c r="L56" s="18" t="n">
        <v>4.26</v>
      </c>
      <c r="M56" s="18" t="n">
        <v>3.85</v>
      </c>
      <c r="N56" s="18" t="n">
        <v>2.1</v>
      </c>
      <c r="O56" s="18" t="n">
        <v>3.54</v>
      </c>
      <c r="P56" s="18" t="n">
        <v>3.27</v>
      </c>
      <c r="Q56" s="20" t="n">
        <v>2.85</v>
      </c>
      <c r="R56" s="18" t="n">
        <v>2</v>
      </c>
      <c r="S56" s="20" t="n">
        <v>4.8</v>
      </c>
      <c r="T56" s="18" t="n">
        <v>3.33</v>
      </c>
      <c r="U56" s="18" t="n">
        <v>1.83</v>
      </c>
    </row>
    <row r="57" customFormat="false" ht="15" hidden="false" customHeight="false" outlineLevel="0" collapsed="false">
      <c r="A57" s="7" t="n">
        <v>54</v>
      </c>
      <c r="B57" s="8" t="s">
        <v>97</v>
      </c>
      <c r="C57" s="18" t="n">
        <v>2.16</v>
      </c>
      <c r="D57" s="18" t="n">
        <v>5.38</v>
      </c>
      <c r="E57" s="19" t="n">
        <v>0.09</v>
      </c>
      <c r="F57" s="18" t="n">
        <v>1.81</v>
      </c>
      <c r="G57" s="18" t="n">
        <v>1.89</v>
      </c>
      <c r="H57" s="18" t="n">
        <v>1.58</v>
      </c>
      <c r="I57" s="18" t="n">
        <v>2.65</v>
      </c>
      <c r="J57" s="18" t="n">
        <v>2.65</v>
      </c>
      <c r="K57" s="18" t="n">
        <v>3.49</v>
      </c>
      <c r="L57" s="18" t="n">
        <v>2.38</v>
      </c>
      <c r="M57" s="18" t="n">
        <v>1.66</v>
      </c>
      <c r="N57" s="18" t="n">
        <v>2.19</v>
      </c>
      <c r="O57" s="18" t="n">
        <v>2.75</v>
      </c>
      <c r="P57" s="18" t="n">
        <v>3.25</v>
      </c>
      <c r="Q57" s="20" t="n">
        <v>2.7</v>
      </c>
      <c r="R57" s="18" t="n">
        <v>2.29</v>
      </c>
      <c r="S57" s="18" t="n">
        <v>3.57</v>
      </c>
      <c r="T57" s="18" t="n">
        <v>2.57</v>
      </c>
      <c r="U57" s="18" t="n">
        <v>1.77</v>
      </c>
    </row>
    <row r="58" customFormat="false" ht="15" hidden="false" customHeight="false" outlineLevel="0" collapsed="false">
      <c r="A58" s="7" t="n">
        <v>55</v>
      </c>
      <c r="B58" s="8" t="s">
        <v>102</v>
      </c>
      <c r="C58" s="18" t="n">
        <v>1.21</v>
      </c>
      <c r="D58" s="18" t="n">
        <v>5.04</v>
      </c>
      <c r="E58" s="19" t="n">
        <v>0.07</v>
      </c>
      <c r="F58" s="18" t="n">
        <v>1.05</v>
      </c>
      <c r="G58" s="18" t="n">
        <v>3.07</v>
      </c>
      <c r="H58" s="19" t="n">
        <v>0.83</v>
      </c>
      <c r="I58" s="18" t="n">
        <v>2.9</v>
      </c>
      <c r="J58" s="18" t="n">
        <v>3.03</v>
      </c>
      <c r="K58" s="18" t="n">
        <v>6.06</v>
      </c>
      <c r="L58" s="18" t="n">
        <v>4.23</v>
      </c>
      <c r="M58" s="18" t="n">
        <v>1.46</v>
      </c>
      <c r="N58" s="18" t="n">
        <v>1.8</v>
      </c>
      <c r="O58" s="18" t="n">
        <v>2.54</v>
      </c>
      <c r="P58" s="18" t="n">
        <v>2.73</v>
      </c>
      <c r="Q58" s="20" t="n">
        <v>2.59</v>
      </c>
      <c r="R58" s="18" t="n">
        <v>1.7</v>
      </c>
      <c r="S58" s="18" t="n">
        <v>3.83</v>
      </c>
      <c r="T58" s="18" t="n">
        <v>2.46</v>
      </c>
      <c r="U58" s="19" t="n">
        <v>0.92</v>
      </c>
    </row>
    <row r="59" customFormat="false" ht="15" hidden="false" customHeight="false" outlineLevel="0" collapsed="false">
      <c r="A59" s="7" t="n">
        <v>56</v>
      </c>
      <c r="B59" s="8" t="s">
        <v>107</v>
      </c>
      <c r="C59" s="18" t="n">
        <v>2.28</v>
      </c>
      <c r="D59" s="18" t="n">
        <v>5.43</v>
      </c>
      <c r="E59" s="19" t="n">
        <v>0.09</v>
      </c>
      <c r="F59" s="18" t="n">
        <v>1.34</v>
      </c>
      <c r="G59" s="18" t="n">
        <v>1.81</v>
      </c>
      <c r="H59" s="18" t="n">
        <v>1.53</v>
      </c>
      <c r="I59" s="18" t="n">
        <v>3.94</v>
      </c>
      <c r="J59" s="18" t="n">
        <v>3</v>
      </c>
      <c r="K59" s="18" t="n">
        <v>7.58</v>
      </c>
      <c r="L59" s="18" t="n">
        <v>5.78</v>
      </c>
      <c r="M59" s="18" t="n">
        <v>2.21</v>
      </c>
      <c r="N59" s="18" t="n">
        <v>2.44</v>
      </c>
      <c r="O59" s="18" t="n">
        <v>3.16</v>
      </c>
      <c r="P59" s="18" t="n">
        <v>3.67</v>
      </c>
      <c r="Q59" s="20" t="n">
        <v>3.6</v>
      </c>
      <c r="R59" s="18" t="n">
        <v>2.76</v>
      </c>
      <c r="S59" s="18" t="n">
        <v>3.21</v>
      </c>
      <c r="T59" s="18" t="n">
        <v>3.04</v>
      </c>
      <c r="U59" s="18" t="n">
        <v>1.74</v>
      </c>
    </row>
    <row r="60" customFormat="false" ht="15" hidden="false" customHeight="false" outlineLevel="0" collapsed="false">
      <c r="A60" s="7" t="n">
        <v>57</v>
      </c>
      <c r="B60" s="8" t="s">
        <v>68</v>
      </c>
      <c r="C60" s="18" t="n">
        <v>1.61</v>
      </c>
      <c r="D60" s="18" t="n">
        <v>7.63</v>
      </c>
      <c r="E60" s="19" t="n">
        <v>0.05</v>
      </c>
      <c r="F60" s="18" t="n">
        <v>1.56</v>
      </c>
      <c r="G60" s="18" t="n">
        <v>2.26</v>
      </c>
      <c r="H60" s="18" t="n">
        <v>1.43</v>
      </c>
      <c r="I60" s="18" t="n">
        <v>2.01</v>
      </c>
      <c r="J60" s="18" t="n">
        <v>2.53</v>
      </c>
      <c r="K60" s="18" t="n">
        <v>2.38</v>
      </c>
      <c r="L60" s="18" t="n">
        <v>1.75</v>
      </c>
      <c r="M60" s="18" t="n">
        <v>1.77</v>
      </c>
      <c r="N60" s="18" t="n">
        <v>1.58</v>
      </c>
      <c r="O60" s="18" t="n">
        <v>2.51</v>
      </c>
      <c r="P60" s="18" t="n">
        <v>2.7</v>
      </c>
      <c r="Q60" s="20" t="n">
        <v>2.41</v>
      </c>
      <c r="R60" s="18" t="n">
        <v>1.61</v>
      </c>
      <c r="S60" s="20" t="n">
        <v>4.46</v>
      </c>
      <c r="T60" s="18" t="n">
        <v>2.16</v>
      </c>
      <c r="U60" s="18" t="n">
        <v>1.04</v>
      </c>
    </row>
    <row r="61" customFormat="false" ht="15" hidden="false" customHeight="false" outlineLevel="0" collapsed="false">
      <c r="A61" s="7" t="n">
        <v>58</v>
      </c>
      <c r="B61" s="8" t="s">
        <v>76</v>
      </c>
      <c r="C61" s="18" t="n">
        <v>2.25</v>
      </c>
      <c r="D61" s="18" t="n">
        <v>5.32</v>
      </c>
      <c r="E61" s="18" t="n">
        <v>1.36</v>
      </c>
      <c r="F61" s="18" t="n">
        <v>1.87</v>
      </c>
      <c r="G61" s="18" t="n">
        <v>1.97</v>
      </c>
      <c r="H61" s="18" t="n">
        <v>1.62</v>
      </c>
      <c r="I61" s="18" t="n">
        <v>3.62</v>
      </c>
      <c r="J61" s="18" t="n">
        <v>3.42</v>
      </c>
      <c r="K61" s="18" t="n">
        <v>6.31</v>
      </c>
      <c r="L61" s="18" t="n">
        <v>5.64</v>
      </c>
      <c r="M61" s="18" t="n">
        <v>2.72</v>
      </c>
      <c r="N61" s="18" t="n">
        <v>1.82</v>
      </c>
      <c r="O61" s="18" t="n">
        <v>3.13</v>
      </c>
      <c r="P61" s="18" t="n">
        <v>3.28</v>
      </c>
      <c r="Q61" s="20" t="n">
        <v>3.17</v>
      </c>
      <c r="R61" s="18" t="n">
        <v>2.1</v>
      </c>
      <c r="S61" s="18" t="n">
        <v>4.24</v>
      </c>
      <c r="T61" s="18" t="n">
        <v>2.09</v>
      </c>
      <c r="U61" s="18" t="n">
        <v>1.37</v>
      </c>
    </row>
    <row r="62" customFormat="false" ht="15" hidden="false" customHeight="false" outlineLevel="0" collapsed="false">
      <c r="A62" s="7" t="n">
        <v>59</v>
      </c>
      <c r="B62" s="8" t="s">
        <v>84</v>
      </c>
      <c r="C62" s="18" t="n">
        <v>2.24</v>
      </c>
      <c r="D62" s="18" t="n">
        <v>6.73</v>
      </c>
      <c r="E62" s="19" t="n">
        <v>0.1</v>
      </c>
      <c r="F62" s="18" t="n">
        <v>1.28</v>
      </c>
      <c r="G62" s="18" t="n">
        <v>3.3</v>
      </c>
      <c r="H62" s="18" t="n">
        <v>1.66</v>
      </c>
      <c r="I62" s="18" t="n">
        <v>3.62</v>
      </c>
      <c r="J62" s="18" t="n">
        <v>4.18</v>
      </c>
      <c r="K62" s="18" t="n">
        <v>6.79</v>
      </c>
      <c r="L62" s="18" t="n">
        <v>4.76</v>
      </c>
      <c r="M62" s="18" t="n">
        <v>2.47</v>
      </c>
      <c r="N62" s="18" t="n">
        <v>1.97</v>
      </c>
      <c r="O62" s="18" t="n">
        <v>3.37</v>
      </c>
      <c r="P62" s="18" t="n">
        <v>3.32</v>
      </c>
      <c r="Q62" s="20" t="n">
        <v>3.55</v>
      </c>
      <c r="R62" s="18" t="n">
        <v>2.28</v>
      </c>
      <c r="S62" s="18" t="n">
        <v>3.36</v>
      </c>
      <c r="T62" s="18" t="n">
        <v>2.32</v>
      </c>
      <c r="U62" s="18" t="n">
        <v>1.87</v>
      </c>
    </row>
    <row r="63" customFormat="false" ht="15" hidden="false" customHeight="false" outlineLevel="0" collapsed="false">
      <c r="A63" s="7" t="n">
        <v>60</v>
      </c>
      <c r="B63" s="8" t="s">
        <v>91</v>
      </c>
      <c r="C63" s="18" t="n">
        <v>2.31</v>
      </c>
      <c r="D63" s="18" t="n">
        <v>4.77</v>
      </c>
      <c r="E63" s="19" t="n">
        <v>0.27</v>
      </c>
      <c r="F63" s="18" t="n">
        <v>1.34</v>
      </c>
      <c r="G63" s="18" t="n">
        <v>1.01</v>
      </c>
      <c r="H63" s="18" t="n">
        <v>1.08</v>
      </c>
      <c r="I63" s="18" t="n">
        <v>3.92</v>
      </c>
      <c r="J63" s="18" t="n">
        <v>3.36</v>
      </c>
      <c r="K63" s="18" t="n">
        <v>6.01</v>
      </c>
      <c r="L63" s="18" t="n">
        <v>4.59</v>
      </c>
      <c r="M63" s="18" t="n">
        <v>1.4</v>
      </c>
      <c r="N63" s="18" t="n">
        <v>2.15</v>
      </c>
      <c r="O63" s="18" t="n">
        <v>2.35</v>
      </c>
      <c r="P63" s="18" t="n">
        <v>2.74</v>
      </c>
      <c r="Q63" s="20" t="n">
        <v>2.52</v>
      </c>
      <c r="R63" s="18" t="n">
        <v>1.79</v>
      </c>
      <c r="S63" s="18" t="n">
        <v>3.96</v>
      </c>
      <c r="T63" s="18" t="n">
        <v>2.9</v>
      </c>
      <c r="U63" s="18" t="n">
        <v>1.16</v>
      </c>
    </row>
    <row r="65" customFormat="false" ht="15" hidden="false" customHeight="false" outlineLevel="0" collapsed="false">
      <c r="A65" s="15" t="s">
        <v>236</v>
      </c>
      <c r="B65" s="3"/>
      <c r="C65" s="21" t="n">
        <f aca="false">AVERAGE(C4:C63)</f>
        <v>2.366</v>
      </c>
      <c r="D65" s="21" t="n">
        <f aca="false">AVERAGE(D4:D63)</f>
        <v>6.27783333333333</v>
      </c>
      <c r="E65" s="21" t="n">
        <f aca="false">AVERAGE(E4:E63)</f>
        <v>0.336666666666667</v>
      </c>
      <c r="F65" s="21" t="n">
        <f aca="false">AVERAGE(F4:F63)</f>
        <v>1.408</v>
      </c>
      <c r="G65" s="21" t="n">
        <f aca="false">AVERAGE(G4:G63)</f>
        <v>3.507</v>
      </c>
      <c r="H65" s="21" t="n">
        <f aca="false">AVERAGE(H4:H63)</f>
        <v>1.50066666666667</v>
      </c>
      <c r="I65" s="21" t="n">
        <f aca="false">AVERAGE(I4:I63)</f>
        <v>3.3545</v>
      </c>
      <c r="J65" s="21" t="n">
        <f aca="false">AVERAGE(J4:J63)</f>
        <v>3.16683333333333</v>
      </c>
      <c r="K65" s="21" t="n">
        <f aca="false">AVERAGE(K4:K63)</f>
        <v>5.42633333333333</v>
      </c>
      <c r="L65" s="21" t="n">
        <f aca="false">AVERAGE(L4:L63)</f>
        <v>4.27716666666667</v>
      </c>
      <c r="M65" s="21" t="n">
        <f aca="false">AVERAGE(M4:M63)</f>
        <v>2.084</v>
      </c>
      <c r="N65" s="21" t="n">
        <f aca="false">AVERAGE(N4:N63)</f>
        <v>2.0565</v>
      </c>
      <c r="O65" s="21" t="n">
        <f aca="false">AVERAGE(O4:O63)</f>
        <v>2.95233333333333</v>
      </c>
      <c r="P65" s="21" t="n">
        <f aca="false">AVERAGE(P4:P63)</f>
        <v>3.00433333333333</v>
      </c>
      <c r="Q65" s="21" t="n">
        <f aca="false">AVERAGE(Q4:Q63)</f>
        <v>2.91483333333333</v>
      </c>
      <c r="R65" s="21" t="n">
        <f aca="false">AVERAGE(R4:R63)</f>
        <v>2.04316666666667</v>
      </c>
      <c r="S65" s="21" t="n">
        <f aca="false">AVERAGE(S4:S63)</f>
        <v>4.152</v>
      </c>
      <c r="T65" s="21" t="n">
        <f aca="false">AVERAGE(T4:T63)</f>
        <v>2.5025</v>
      </c>
      <c r="U65" s="21" t="n">
        <f aca="false">AVERAGE(U4:U63)</f>
        <v>1.37666666666667</v>
      </c>
    </row>
    <row r="67" customFormat="false" ht="15" hidden="false" customHeight="false" outlineLevel="0" collapsed="false">
      <c r="A67" s="7" t="s">
        <v>734</v>
      </c>
    </row>
    <row r="68" customFormat="false" ht="15" hidden="false" customHeight="false" outlineLevel="0" collapsed="false">
      <c r="A68" s="8" t="s">
        <v>735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10"/>
    <col collapsed="false" customWidth="true" hidden="false" outlineLevel="0" max="4" min="4" style="0" width="26"/>
    <col collapsed="false" customWidth="true" hidden="false" outlineLevel="0" max="5" min="5" style="0" width="74"/>
  </cols>
  <sheetData>
    <row r="2" customFormat="false" ht="17.35" hidden="false" customHeight="false" outlineLevel="0" collapsed="false">
      <c r="B2" s="22" t="s">
        <v>736</v>
      </c>
    </row>
    <row r="4" customFormat="false" ht="15" hidden="false" customHeight="false" outlineLevel="0" collapsed="false">
      <c r="A4" s="6"/>
      <c r="B4" s="6" t="s">
        <v>737</v>
      </c>
      <c r="C4" s="6" t="s">
        <v>738</v>
      </c>
      <c r="D4" s="6" t="s">
        <v>739</v>
      </c>
      <c r="E4" s="6" t="s">
        <v>740</v>
      </c>
    </row>
    <row r="5" customFormat="false" ht="46.5" hidden="false" customHeight="true" outlineLevel="0" collapsed="false">
      <c r="B5" s="4" t="s">
        <v>741</v>
      </c>
      <c r="C5" s="5" t="s">
        <v>742</v>
      </c>
      <c r="D5" s="5" t="s">
        <v>743</v>
      </c>
      <c r="E5" s="5" t="s">
        <v>744</v>
      </c>
    </row>
    <row r="6" customFormat="false" ht="33.75" hidden="false" customHeight="true" outlineLevel="0" collapsed="false">
      <c r="B6" s="4" t="s">
        <v>745</v>
      </c>
      <c r="C6" s="5" t="s">
        <v>746</v>
      </c>
      <c r="D6" s="5" t="s">
        <v>747</v>
      </c>
      <c r="E6" s="5" t="s">
        <v>748</v>
      </c>
    </row>
    <row r="7" customFormat="false" ht="21" hidden="false" customHeight="true" outlineLevel="0" collapsed="false">
      <c r="B7" s="4" t="s">
        <v>749</v>
      </c>
      <c r="C7" s="5" t="s">
        <v>750</v>
      </c>
      <c r="D7" s="5" t="s">
        <v>751</v>
      </c>
      <c r="E7" s="5" t="s">
        <v>752</v>
      </c>
    </row>
    <row r="8" customFormat="false" ht="46.5" hidden="false" customHeight="true" outlineLevel="0" collapsed="false">
      <c r="B8" s="4" t="s">
        <v>753</v>
      </c>
      <c r="C8" s="5" t="s">
        <v>754</v>
      </c>
      <c r="D8" s="5" t="s">
        <v>755</v>
      </c>
      <c r="E8" s="5" t="s">
        <v>756</v>
      </c>
    </row>
    <row r="9" customFormat="false" ht="46.5" hidden="false" customHeight="true" outlineLevel="0" collapsed="false">
      <c r="B9" s="4" t="s">
        <v>757</v>
      </c>
      <c r="C9" s="5" t="s">
        <v>758</v>
      </c>
      <c r="D9" s="5" t="s">
        <v>759</v>
      </c>
      <c r="E9" s="5" t="s">
        <v>760</v>
      </c>
    </row>
    <row r="10" customFormat="false" ht="33.75" hidden="false" customHeight="true" outlineLevel="0" collapsed="false">
      <c r="B10" s="4" t="s">
        <v>761</v>
      </c>
      <c r="C10" s="5" t="s">
        <v>762</v>
      </c>
      <c r="D10" s="5" t="s">
        <v>763</v>
      </c>
      <c r="E10" s="5" t="s">
        <v>764</v>
      </c>
    </row>
    <row r="13" customFormat="false" ht="17.35" hidden="false" customHeight="false" outlineLevel="0" collapsed="false">
      <c r="B13" s="22" t="s">
        <v>765</v>
      </c>
    </row>
    <row r="14" customFormat="false" ht="15" hidden="false" customHeight="false" outlineLevel="0" collapsed="false">
      <c r="B14" s="8" t="s">
        <v>766</v>
      </c>
    </row>
    <row r="16" customFormat="false" ht="15" hidden="false" customHeight="false" outlineLevel="0" collapsed="false">
      <c r="A16" s="6"/>
      <c r="B16" s="6" t="s">
        <v>53</v>
      </c>
      <c r="C16" s="6" t="s">
        <v>54</v>
      </c>
      <c r="D16" s="6" t="s">
        <v>767</v>
      </c>
      <c r="E16" s="6" t="s">
        <v>768</v>
      </c>
    </row>
    <row r="17" customFormat="false" ht="33.75" hidden="false" customHeight="true" outlineLevel="0" collapsed="false">
      <c r="B17" s="7" t="n">
        <v>4</v>
      </c>
      <c r="C17" s="8" t="s">
        <v>91</v>
      </c>
      <c r="D17" s="23" t="s">
        <v>769</v>
      </c>
      <c r="E17" s="5" t="s">
        <v>770</v>
      </c>
    </row>
    <row r="18" customFormat="false" ht="33.75" hidden="false" customHeight="true" outlineLevel="0" collapsed="false">
      <c r="B18" s="7" t="n">
        <v>5</v>
      </c>
      <c r="C18" s="8" t="s">
        <v>97</v>
      </c>
      <c r="D18" s="23" t="s">
        <v>771</v>
      </c>
      <c r="E18" s="5" t="s">
        <v>772</v>
      </c>
    </row>
    <row r="19" customFormat="false" ht="33.75" hidden="false" customHeight="true" outlineLevel="0" collapsed="false">
      <c r="B19" s="7" t="n">
        <v>7</v>
      </c>
      <c r="C19" s="8" t="s">
        <v>107</v>
      </c>
      <c r="D19" s="23" t="s">
        <v>773</v>
      </c>
      <c r="E19" s="5" t="s">
        <v>772</v>
      </c>
    </row>
    <row r="20" customFormat="false" ht="33.75" hidden="false" customHeight="true" outlineLevel="0" collapsed="false">
      <c r="B20" s="7" t="n">
        <v>9</v>
      </c>
      <c r="C20" s="8" t="s">
        <v>76</v>
      </c>
      <c r="D20" s="23" t="s">
        <v>774</v>
      </c>
      <c r="E20" s="5" t="s">
        <v>770</v>
      </c>
    </row>
    <row r="21" customFormat="false" ht="21" hidden="false" customHeight="true" outlineLevel="0" collapsed="false">
      <c r="B21" s="7" t="n">
        <v>10</v>
      </c>
      <c r="C21" s="8" t="s">
        <v>84</v>
      </c>
      <c r="D21" s="23" t="s">
        <v>775</v>
      </c>
      <c r="E21" s="5" t="s">
        <v>776</v>
      </c>
    </row>
    <row r="22" customFormat="false" ht="21" hidden="false" customHeight="true" outlineLevel="0" collapsed="false">
      <c r="B22" s="7" t="n">
        <v>14</v>
      </c>
      <c r="C22" s="8" t="s">
        <v>107</v>
      </c>
      <c r="D22" s="23" t="s">
        <v>777</v>
      </c>
      <c r="E22" s="5" t="s">
        <v>776</v>
      </c>
    </row>
    <row r="23" customFormat="false" ht="21" hidden="false" customHeight="true" outlineLevel="0" collapsed="false">
      <c r="B23" s="7" t="n">
        <v>15</v>
      </c>
      <c r="C23" s="8" t="s">
        <v>68</v>
      </c>
      <c r="D23" s="23" t="s">
        <v>778</v>
      </c>
      <c r="E23" s="5" t="s">
        <v>779</v>
      </c>
    </row>
    <row r="24" customFormat="false" ht="33.75" hidden="false" customHeight="true" outlineLevel="0" collapsed="false">
      <c r="B24" s="7" t="n">
        <v>16</v>
      </c>
      <c r="C24" s="8" t="s">
        <v>76</v>
      </c>
      <c r="D24" s="23" t="s">
        <v>780</v>
      </c>
      <c r="E24" s="5" t="s">
        <v>770</v>
      </c>
    </row>
    <row r="25" customFormat="false" ht="33.75" hidden="false" customHeight="true" outlineLevel="0" collapsed="false">
      <c r="B25" s="7" t="n">
        <v>24</v>
      </c>
      <c r="C25" s="8" t="s">
        <v>84</v>
      </c>
      <c r="D25" s="23" t="s">
        <v>781</v>
      </c>
      <c r="E25" s="5" t="s">
        <v>770</v>
      </c>
    </row>
    <row r="26" customFormat="false" ht="33.75" hidden="false" customHeight="true" outlineLevel="0" collapsed="false">
      <c r="B26" s="7" t="n">
        <v>33</v>
      </c>
      <c r="C26" s="8" t="s">
        <v>97</v>
      </c>
      <c r="D26" s="23" t="s">
        <v>782</v>
      </c>
      <c r="E26" s="5" t="s">
        <v>770</v>
      </c>
    </row>
    <row r="27" customFormat="false" ht="33.75" hidden="false" customHeight="true" outlineLevel="0" collapsed="false">
      <c r="B27" s="7" t="n">
        <v>37</v>
      </c>
      <c r="C27" s="8" t="s">
        <v>76</v>
      </c>
      <c r="D27" s="23" t="s">
        <v>783</v>
      </c>
      <c r="E27" s="5" t="s">
        <v>772</v>
      </c>
    </row>
    <row r="28" customFormat="false" ht="33.75" hidden="false" customHeight="true" outlineLevel="0" collapsed="false">
      <c r="B28" s="7" t="n">
        <v>46</v>
      </c>
      <c r="C28" s="8" t="s">
        <v>91</v>
      </c>
      <c r="D28" s="23" t="s">
        <v>784</v>
      </c>
      <c r="E28" s="5" t="s">
        <v>770</v>
      </c>
    </row>
    <row r="29" customFormat="false" ht="21" hidden="false" customHeight="true" outlineLevel="0" collapsed="false">
      <c r="B29" s="7" t="n">
        <v>47</v>
      </c>
      <c r="C29" s="8" t="s">
        <v>97</v>
      </c>
      <c r="D29" s="23" t="s">
        <v>785</v>
      </c>
      <c r="E29" s="5" t="s">
        <v>779</v>
      </c>
    </row>
    <row r="30" customFormat="false" ht="33.75" hidden="false" customHeight="true" outlineLevel="0" collapsed="false">
      <c r="B30" s="7" t="n">
        <v>55</v>
      </c>
      <c r="C30" s="8" t="s">
        <v>102</v>
      </c>
      <c r="D30" s="23" t="s">
        <v>786</v>
      </c>
      <c r="E30" s="5" t="s">
        <v>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40"/>
    <col collapsed="false" customWidth="true" hidden="false" outlineLevel="0" max="4" min="4" style="0" width="12"/>
    <col collapsed="false" customWidth="true" hidden="false" outlineLevel="0" max="5" min="5" style="0" width="10"/>
    <col collapsed="false" customWidth="true" hidden="false" outlineLevel="0" max="6" min="6" style="0" width="46"/>
  </cols>
  <sheetData>
    <row r="1" customFormat="false" ht="15" hidden="false" customHeight="false" outlineLevel="0" collapsed="false">
      <c r="A1" s="6" t="s">
        <v>788</v>
      </c>
      <c r="B1" s="6" t="s">
        <v>789</v>
      </c>
      <c r="C1" s="6" t="s">
        <v>482</v>
      </c>
      <c r="D1" s="6" t="s">
        <v>790</v>
      </c>
      <c r="E1" s="6" t="s">
        <v>791</v>
      </c>
      <c r="F1" s="6" t="s">
        <v>792</v>
      </c>
    </row>
    <row r="2" customFormat="false" ht="15" hidden="false" customHeight="false" outlineLevel="0" collapsed="false">
      <c r="A2" s="8" t="n">
        <v>1</v>
      </c>
      <c r="B2" s="8" t="s">
        <v>793</v>
      </c>
      <c r="C2" s="5" t="s">
        <v>794</v>
      </c>
      <c r="D2" s="8" t="n">
        <v>5</v>
      </c>
      <c r="E2" s="8" t="s">
        <v>795</v>
      </c>
      <c r="F2" s="5"/>
    </row>
    <row r="3" customFormat="false" ht="15" hidden="false" customHeight="false" outlineLevel="0" collapsed="false">
      <c r="A3" s="8"/>
      <c r="B3" s="8"/>
      <c r="C3" s="5" t="s">
        <v>678</v>
      </c>
      <c r="D3" s="24" t="n">
        <v>300</v>
      </c>
      <c r="E3" s="8" t="s">
        <v>796</v>
      </c>
      <c r="F3" s="5" t="s">
        <v>797</v>
      </c>
    </row>
    <row r="4" customFormat="false" ht="15" hidden="false" customHeight="false" outlineLevel="0" collapsed="false">
      <c r="A4" s="8"/>
      <c r="B4" s="8"/>
      <c r="C4" s="5" t="s">
        <v>681</v>
      </c>
      <c r="D4" s="24" t="n">
        <v>200</v>
      </c>
      <c r="E4" s="8" t="s">
        <v>796</v>
      </c>
      <c r="F4" s="5" t="s">
        <v>797</v>
      </c>
    </row>
    <row r="5" customFormat="false" ht="15" hidden="false" customHeight="false" outlineLevel="0" collapsed="false">
      <c r="A5" s="8"/>
      <c r="B5" s="8"/>
      <c r="C5" s="5" t="s">
        <v>684</v>
      </c>
      <c r="D5" s="24" t="n">
        <v>370</v>
      </c>
      <c r="E5" s="8" t="s">
        <v>796</v>
      </c>
      <c r="F5" s="5" t="s">
        <v>797</v>
      </c>
    </row>
    <row r="6" customFormat="false" ht="15" hidden="false" customHeight="false" outlineLevel="0" collapsed="false">
      <c r="A6" s="8"/>
      <c r="B6" s="8"/>
      <c r="C6" s="5" t="s">
        <v>517</v>
      </c>
      <c r="D6" s="24" t="n">
        <v>500</v>
      </c>
      <c r="E6" s="8" t="s">
        <v>796</v>
      </c>
      <c r="F6" s="5"/>
    </row>
    <row r="7" customFormat="false" ht="15" hidden="false" customHeight="false" outlineLevel="0" collapsed="false">
      <c r="A7" s="8"/>
      <c r="B7" s="8"/>
      <c r="C7" s="5" t="s">
        <v>685</v>
      </c>
      <c r="D7" s="24" t="n">
        <v>240</v>
      </c>
      <c r="E7" s="8" t="s">
        <v>796</v>
      </c>
      <c r="F7" s="5"/>
    </row>
    <row r="8" customFormat="false" ht="15" hidden="false" customHeight="false" outlineLevel="0" collapsed="false">
      <c r="A8" s="8"/>
      <c r="B8" s="8"/>
      <c r="C8" s="5" t="s">
        <v>669</v>
      </c>
      <c r="D8" s="24" t="n">
        <v>40</v>
      </c>
      <c r="E8" s="8" t="s">
        <v>796</v>
      </c>
      <c r="F8" s="5"/>
    </row>
    <row r="9" customFormat="false" ht="15" hidden="false" customHeight="false" outlineLevel="0" collapsed="false">
      <c r="A9" s="8"/>
      <c r="B9" s="8"/>
      <c r="C9" s="5" t="s">
        <v>561</v>
      </c>
      <c r="D9" s="24" t="n">
        <v>100</v>
      </c>
      <c r="E9" s="8" t="s">
        <v>796</v>
      </c>
      <c r="F9" s="5"/>
    </row>
    <row r="10" customFormat="false" ht="15" hidden="false" customHeight="false" outlineLevel="0" collapsed="false">
      <c r="A10" s="8"/>
      <c r="B10" s="8"/>
      <c r="C10" s="5" t="s">
        <v>641</v>
      </c>
      <c r="D10" s="24" t="n">
        <v>1.92</v>
      </c>
      <c r="E10" s="8" t="s">
        <v>798</v>
      </c>
      <c r="F10" s="5"/>
    </row>
    <row r="11" customFormat="false" ht="15" hidden="false" customHeight="false" outlineLevel="0" collapsed="false">
      <c r="A11" s="8"/>
      <c r="B11" s="8"/>
      <c r="C11" s="5" t="s">
        <v>799</v>
      </c>
      <c r="D11" s="24" t="n">
        <v>154</v>
      </c>
      <c r="E11" s="8" t="s">
        <v>796</v>
      </c>
      <c r="F11" s="5" t="s">
        <v>800</v>
      </c>
    </row>
    <row r="12" customFormat="false" ht="15" hidden="false" customHeight="false" outlineLevel="0" collapsed="false">
      <c r="A12" s="8"/>
      <c r="B12" s="8"/>
      <c r="C12" s="5" t="s">
        <v>801</v>
      </c>
      <c r="D12" s="24" t="n">
        <v>176</v>
      </c>
      <c r="E12" s="8" t="s">
        <v>796</v>
      </c>
      <c r="F12" s="5" t="s">
        <v>802</v>
      </c>
    </row>
    <row r="13" customFormat="false" ht="15" hidden="false" customHeight="false" outlineLevel="0" collapsed="false">
      <c r="A13" s="8"/>
      <c r="B13" s="8"/>
      <c r="C13" s="5" t="s">
        <v>640</v>
      </c>
      <c r="D13" s="24" t="n">
        <v>400</v>
      </c>
      <c r="E13" s="8" t="s">
        <v>796</v>
      </c>
      <c r="F13" s="5"/>
    </row>
    <row r="14" customFormat="false" ht="15" hidden="false" customHeight="false" outlineLevel="0" collapsed="false">
      <c r="A14" s="8"/>
      <c r="B14" s="8"/>
      <c r="C14" s="5" t="s">
        <v>803</v>
      </c>
      <c r="D14" s="24" t="n">
        <v>220</v>
      </c>
      <c r="E14" s="8" t="s">
        <v>796</v>
      </c>
      <c r="F14" s="5" t="s">
        <v>802</v>
      </c>
    </row>
    <row r="15" customFormat="false" ht="15" hidden="false" customHeight="false" outlineLevel="0" collapsed="false">
      <c r="A15" s="8"/>
      <c r="B15" s="8"/>
      <c r="C15" s="5" t="s">
        <v>804</v>
      </c>
      <c r="D15" s="24" t="n">
        <v>234</v>
      </c>
      <c r="E15" s="8" t="s">
        <v>796</v>
      </c>
      <c r="F15" s="5" t="s">
        <v>802</v>
      </c>
    </row>
    <row r="16" customFormat="false" ht="15" hidden="false" customHeight="false" outlineLevel="0" collapsed="false">
      <c r="A16" s="8"/>
      <c r="B16" s="8"/>
      <c r="C16" s="5" t="s">
        <v>514</v>
      </c>
      <c r="D16" s="24" t="n">
        <v>10</v>
      </c>
      <c r="E16" s="8" t="s">
        <v>796</v>
      </c>
      <c r="F16" s="5"/>
    </row>
    <row r="17" customFormat="false" ht="15" hidden="false" customHeight="false" outlineLevel="0" collapsed="false">
      <c r="A17" s="8"/>
      <c r="B17" s="8"/>
      <c r="C17" s="5" t="s">
        <v>805</v>
      </c>
      <c r="D17" s="24" t="n">
        <v>176</v>
      </c>
      <c r="E17" s="8" t="s">
        <v>796</v>
      </c>
      <c r="F17" s="5" t="s">
        <v>800</v>
      </c>
    </row>
    <row r="18" customFormat="false" ht="15" hidden="false" customHeight="false" outlineLevel="0" collapsed="false">
      <c r="A18" s="8"/>
      <c r="B18" s="8"/>
      <c r="C18" s="5" t="s">
        <v>510</v>
      </c>
      <c r="D18" s="24" t="n">
        <v>25</v>
      </c>
      <c r="E18" s="8" t="s">
        <v>796</v>
      </c>
      <c r="F18" s="5"/>
    </row>
    <row r="19" customFormat="false" ht="15" hidden="false" customHeight="false" outlineLevel="0" collapsed="false">
      <c r="A19" s="8"/>
      <c r="B19" s="8"/>
      <c r="C19" s="5" t="s">
        <v>713</v>
      </c>
      <c r="D19" s="24" t="n">
        <v>40</v>
      </c>
      <c r="E19" s="8" t="s">
        <v>796</v>
      </c>
      <c r="F19" s="5"/>
    </row>
    <row r="20" customFormat="false" ht="15" hidden="false" customHeight="false" outlineLevel="0" collapsed="false">
      <c r="A20" s="8"/>
      <c r="B20" s="8"/>
      <c r="C20" s="5" t="s">
        <v>806</v>
      </c>
      <c r="D20" s="8" t="n">
        <v>8</v>
      </c>
      <c r="E20" s="8" t="s">
        <v>807</v>
      </c>
      <c r="F20" s="5" t="s">
        <v>808</v>
      </c>
    </row>
    <row r="21" customFormat="false" ht="15" hidden="false" customHeight="false" outlineLevel="0" collapsed="false">
      <c r="A21" s="8"/>
      <c r="B21" s="8"/>
      <c r="C21" s="5" t="s">
        <v>580</v>
      </c>
      <c r="D21" s="24" t="n">
        <v>70</v>
      </c>
      <c r="E21" s="8" t="s">
        <v>796</v>
      </c>
      <c r="F21" s="5"/>
    </row>
    <row r="22" customFormat="false" ht="15" hidden="false" customHeight="false" outlineLevel="0" collapsed="false">
      <c r="A22" s="8"/>
      <c r="B22" s="8"/>
      <c r="C22" s="5" t="s">
        <v>522</v>
      </c>
      <c r="D22" s="24" t="n">
        <v>200</v>
      </c>
      <c r="E22" s="8" t="s">
        <v>796</v>
      </c>
      <c r="F22" s="5"/>
    </row>
    <row r="23" customFormat="false" ht="15" hidden="false" customHeight="false" outlineLevel="0" collapsed="false">
      <c r="A23" s="8"/>
      <c r="B23" s="8"/>
      <c r="C23" s="5" t="s">
        <v>497</v>
      </c>
      <c r="D23" s="24" t="n">
        <v>84</v>
      </c>
      <c r="E23" s="8" t="s">
        <v>796</v>
      </c>
      <c r="F23" s="5" t="s">
        <v>802</v>
      </c>
    </row>
    <row r="24" customFormat="false" ht="15" hidden="false" customHeight="false" outlineLevel="0" collapsed="false">
      <c r="A24" s="8"/>
      <c r="B24" s="8"/>
      <c r="C24" s="5" t="s">
        <v>540</v>
      </c>
      <c r="D24" s="24" t="n">
        <v>85</v>
      </c>
      <c r="E24" s="8" t="s">
        <v>796</v>
      </c>
      <c r="F24" s="5"/>
    </row>
    <row r="25" customFormat="false" ht="15" hidden="false" customHeight="false" outlineLevel="0" collapsed="false">
      <c r="A25" s="8"/>
      <c r="B25" s="8"/>
      <c r="C25" s="5" t="s">
        <v>541</v>
      </c>
      <c r="D25" s="24" t="n">
        <v>2.73</v>
      </c>
      <c r="E25" s="8" t="s">
        <v>809</v>
      </c>
      <c r="F25" s="5"/>
    </row>
    <row r="26" customFormat="false" ht="15" hidden="false" customHeight="false" outlineLevel="0" collapsed="false">
      <c r="A26" s="8"/>
      <c r="B26" s="8"/>
      <c r="C26" s="5" t="s">
        <v>488</v>
      </c>
      <c r="D26" s="24" t="n">
        <v>345</v>
      </c>
      <c r="E26" s="8" t="s">
        <v>796</v>
      </c>
      <c r="F26" s="5"/>
    </row>
    <row r="27" customFormat="false" ht="15" hidden="false" customHeight="false" outlineLevel="0" collapsed="false">
      <c r="A27" s="8"/>
      <c r="B27" s="8"/>
      <c r="C27" s="5" t="s">
        <v>810</v>
      </c>
      <c r="D27" s="24" t="n">
        <v>210</v>
      </c>
      <c r="E27" s="8" t="s">
        <v>796</v>
      </c>
      <c r="F27" s="5" t="s">
        <v>802</v>
      </c>
    </row>
    <row r="28" customFormat="false" ht="15" hidden="false" customHeight="false" outlineLevel="0" collapsed="false">
      <c r="A28" s="8"/>
      <c r="B28" s="8"/>
      <c r="C28" s="5" t="s">
        <v>811</v>
      </c>
      <c r="D28" s="24" t="n">
        <v>838</v>
      </c>
      <c r="E28" s="8" t="s">
        <v>796</v>
      </c>
      <c r="F28" s="5" t="s">
        <v>802</v>
      </c>
    </row>
    <row r="29" customFormat="false" ht="15" hidden="false" customHeight="false" outlineLevel="0" collapsed="false">
      <c r="A29" s="8"/>
      <c r="B29" s="8"/>
      <c r="C29" s="5" t="s">
        <v>490</v>
      </c>
      <c r="D29" s="24" t="n">
        <v>5</v>
      </c>
      <c r="E29" s="8" t="s">
        <v>796</v>
      </c>
      <c r="F29" s="5"/>
    </row>
    <row r="30" customFormat="false" ht="15" hidden="false" customHeight="false" outlineLevel="0" collapsed="false">
      <c r="A30" s="8"/>
      <c r="B30" s="8"/>
      <c r="C30" s="5" t="s">
        <v>509</v>
      </c>
      <c r="D30" s="24" t="n">
        <v>50</v>
      </c>
      <c r="E30" s="8" t="s">
        <v>796</v>
      </c>
      <c r="F30" s="5"/>
    </row>
    <row r="31" customFormat="false" ht="15" hidden="false" customHeight="false" outlineLevel="0" collapsed="false">
      <c r="A31" s="8"/>
      <c r="B31" s="8"/>
      <c r="C31" s="5" t="s">
        <v>542</v>
      </c>
      <c r="D31" s="24" t="n">
        <v>70</v>
      </c>
      <c r="E31" s="8" t="s">
        <v>796</v>
      </c>
      <c r="F31" s="5"/>
    </row>
    <row r="32" customFormat="false" ht="15" hidden="false" customHeight="false" outlineLevel="0" collapsed="false">
      <c r="A32" s="8"/>
      <c r="B32" s="8"/>
      <c r="C32" s="5" t="s">
        <v>491</v>
      </c>
      <c r="D32" s="24" t="n">
        <v>3</v>
      </c>
      <c r="E32" s="8" t="s">
        <v>796</v>
      </c>
      <c r="F32" s="5"/>
    </row>
    <row r="33" customFormat="false" ht="15" hidden="false" customHeight="false" outlineLevel="0" collapsed="false">
      <c r="A33" s="8"/>
      <c r="B33" s="8"/>
      <c r="C33" s="5" t="s">
        <v>634</v>
      </c>
      <c r="D33" s="24" t="n">
        <v>1.29</v>
      </c>
      <c r="E33" s="8" t="s">
        <v>798</v>
      </c>
      <c r="F33" s="5"/>
    </row>
    <row r="34" customFormat="false" ht="15" hidden="false" customHeight="false" outlineLevel="0" collapsed="false">
      <c r="A34" s="8"/>
      <c r="B34" s="8"/>
      <c r="C34" s="5" t="s">
        <v>554</v>
      </c>
      <c r="D34" s="24" t="n">
        <v>80</v>
      </c>
      <c r="E34" s="8" t="s">
        <v>796</v>
      </c>
      <c r="F34" s="5"/>
    </row>
    <row r="35" customFormat="false" ht="15" hidden="false" customHeight="false" outlineLevel="0" collapsed="false">
      <c r="A35" s="8"/>
      <c r="B35" s="8"/>
      <c r="C35" s="5" t="s">
        <v>538</v>
      </c>
      <c r="D35" s="24" t="n">
        <v>25</v>
      </c>
      <c r="E35" s="8" t="s">
        <v>796</v>
      </c>
      <c r="F35" s="5"/>
    </row>
    <row r="36" customFormat="false" ht="15" hidden="false" customHeight="false" outlineLevel="0" collapsed="false">
      <c r="A36" s="8"/>
      <c r="B36" s="8"/>
      <c r="C36" s="5" t="s">
        <v>639</v>
      </c>
      <c r="D36" s="24" t="n">
        <v>180</v>
      </c>
      <c r="E36" s="8" t="s">
        <v>796</v>
      </c>
      <c r="F36" s="5"/>
    </row>
    <row r="37" customFormat="false" ht="15" hidden="false" customHeight="false" outlineLevel="0" collapsed="false">
      <c r="A37" s="8"/>
      <c r="B37" s="8"/>
      <c r="C37" s="5" t="s">
        <v>489</v>
      </c>
      <c r="D37" s="24" t="n">
        <v>126</v>
      </c>
      <c r="E37" s="8" t="s">
        <v>796</v>
      </c>
      <c r="F37" s="5"/>
    </row>
    <row r="38" customFormat="false" ht="15" hidden="false" customHeight="false" outlineLevel="0" collapsed="false">
      <c r="A38" s="8"/>
      <c r="B38" s="8"/>
      <c r="C38" s="5" t="s">
        <v>812</v>
      </c>
      <c r="D38" s="24" t="n">
        <v>363</v>
      </c>
      <c r="E38" s="8" t="s">
        <v>796</v>
      </c>
      <c r="F38" s="5" t="s">
        <v>802</v>
      </c>
    </row>
    <row r="39" customFormat="false" ht="15" hidden="false" customHeight="false" outlineLevel="0" collapsed="false">
      <c r="A39" s="8"/>
      <c r="B39" s="8"/>
      <c r="C39" s="5" t="s">
        <v>500</v>
      </c>
      <c r="D39" s="24" t="n">
        <v>20</v>
      </c>
      <c r="E39" s="8" t="s">
        <v>796</v>
      </c>
      <c r="F39" s="5"/>
    </row>
    <row r="40" customFormat="false" ht="15" hidden="false" customHeight="false" outlineLevel="0" collapsed="false">
      <c r="A40" s="8"/>
      <c r="B40" s="8"/>
      <c r="C40" s="5" t="s">
        <v>498</v>
      </c>
      <c r="D40" s="24" t="n">
        <v>150</v>
      </c>
      <c r="E40" s="8" t="s">
        <v>796</v>
      </c>
      <c r="F40" s="5"/>
    </row>
    <row r="41" customFormat="false" ht="15" hidden="false" customHeight="false" outlineLevel="0" collapsed="false">
      <c r="A41" s="8"/>
      <c r="B41" s="8"/>
      <c r="C41" s="5" t="s">
        <v>813</v>
      </c>
      <c r="D41" s="24" t="n">
        <v>176</v>
      </c>
      <c r="E41" s="8" t="s">
        <v>796</v>
      </c>
      <c r="F41" s="5" t="s">
        <v>800</v>
      </c>
    </row>
    <row r="42" customFormat="false" ht="15" hidden="false" customHeight="false" outlineLevel="0" collapsed="false">
      <c r="A42" s="8"/>
      <c r="B42" s="8"/>
      <c r="C42" s="5" t="s">
        <v>607</v>
      </c>
      <c r="D42" s="24" t="n">
        <v>140</v>
      </c>
      <c r="E42" s="8" t="s">
        <v>796</v>
      </c>
      <c r="F42" s="5"/>
    </row>
    <row r="43" customFormat="false" ht="15" hidden="false" customHeight="false" outlineLevel="0" collapsed="false">
      <c r="A43" s="8"/>
      <c r="B43" s="8"/>
      <c r="C43" s="5" t="s">
        <v>814</v>
      </c>
      <c r="D43" s="24" t="n">
        <v>140</v>
      </c>
      <c r="E43" s="8" t="s">
        <v>796</v>
      </c>
      <c r="F43" s="5" t="s">
        <v>800</v>
      </c>
    </row>
    <row r="44" customFormat="false" ht="15" hidden="false" customHeight="false" outlineLevel="0" collapsed="false">
      <c r="A44" s="8"/>
      <c r="B44" s="8"/>
      <c r="C44" s="5" t="s">
        <v>689</v>
      </c>
      <c r="D44" s="24" t="n">
        <v>220</v>
      </c>
      <c r="E44" s="8" t="s">
        <v>796</v>
      </c>
      <c r="F44" s="5"/>
    </row>
    <row r="45" customFormat="false" ht="15" hidden="false" customHeight="false" outlineLevel="0" collapsed="false">
      <c r="A45" s="8"/>
      <c r="B45" s="8"/>
      <c r="C45" s="5" t="s">
        <v>505</v>
      </c>
      <c r="D45" s="24" t="n">
        <v>8</v>
      </c>
      <c r="E45" s="8" t="s">
        <v>796</v>
      </c>
      <c r="F45" s="5"/>
    </row>
    <row r="46" customFormat="false" ht="15" hidden="false" customHeight="false" outlineLevel="0" collapsed="false">
      <c r="A46" s="8"/>
      <c r="B46" s="8"/>
      <c r="C46" s="5" t="s">
        <v>815</v>
      </c>
      <c r="D46" s="24" t="n">
        <v>110</v>
      </c>
      <c r="E46" s="8" t="s">
        <v>796</v>
      </c>
      <c r="F46" s="5" t="s">
        <v>802</v>
      </c>
    </row>
    <row r="47" customFormat="false" ht="15" hidden="false" customHeight="false" outlineLevel="0" collapsed="false">
      <c r="A47" s="8"/>
      <c r="B47" s="8"/>
      <c r="C47" s="5" t="s">
        <v>816</v>
      </c>
      <c r="D47" s="24" t="n">
        <v>176</v>
      </c>
      <c r="E47" s="8" t="s">
        <v>796</v>
      </c>
      <c r="F47" s="5" t="s">
        <v>802</v>
      </c>
    </row>
    <row r="48" customFormat="false" ht="15" hidden="false" customHeight="false" outlineLevel="0" collapsed="false">
      <c r="A48" s="8"/>
      <c r="B48" s="8"/>
      <c r="C48" s="5" t="s">
        <v>708</v>
      </c>
      <c r="D48" s="24" t="n">
        <v>1.75</v>
      </c>
      <c r="E48" s="8" t="s">
        <v>809</v>
      </c>
      <c r="F48" s="5"/>
    </row>
    <row r="49" customFormat="false" ht="15" hidden="false" customHeight="false" outlineLevel="0" collapsed="false">
      <c r="A49" s="8"/>
      <c r="B49" s="8"/>
      <c r="C49" s="5" t="s">
        <v>638</v>
      </c>
      <c r="D49" s="24" t="n">
        <v>680</v>
      </c>
      <c r="E49" s="8" t="s">
        <v>796</v>
      </c>
      <c r="F49" s="5"/>
    </row>
    <row r="50" customFormat="false" ht="15" hidden="false" customHeight="false" outlineLevel="0" collapsed="false">
      <c r="A50" s="8"/>
      <c r="B50" s="8"/>
      <c r="C50" s="5" t="s">
        <v>536</v>
      </c>
      <c r="D50" s="24" t="n">
        <v>150</v>
      </c>
      <c r="E50" s="8" t="s">
        <v>796</v>
      </c>
      <c r="F50" s="5"/>
    </row>
    <row r="51" customFormat="false" ht="15" hidden="false" customHeight="false" outlineLevel="0" collapsed="false">
      <c r="A51" s="8"/>
      <c r="B51" s="8"/>
      <c r="C51" s="5" t="s">
        <v>817</v>
      </c>
      <c r="D51" s="24" t="n">
        <v>198</v>
      </c>
      <c r="E51" s="8" t="s">
        <v>796</v>
      </c>
      <c r="F51" s="5" t="s">
        <v>802</v>
      </c>
    </row>
    <row r="52" customFormat="false" ht="15" hidden="false" customHeight="false" outlineLevel="0" collapsed="false">
      <c r="A52" s="8"/>
      <c r="B52" s="8"/>
      <c r="C52" s="5" t="s">
        <v>537</v>
      </c>
      <c r="D52" s="24" t="n">
        <v>220</v>
      </c>
      <c r="E52" s="8" t="s">
        <v>796</v>
      </c>
      <c r="F52" s="5"/>
    </row>
    <row r="53" customFormat="false" ht="15" hidden="false" customHeight="false" outlineLevel="0" collapsed="false">
      <c r="A53" s="8"/>
      <c r="B53" s="8"/>
      <c r="C53" s="5" t="s">
        <v>508</v>
      </c>
      <c r="D53" s="24" t="n">
        <v>150</v>
      </c>
      <c r="E53" s="8" t="s">
        <v>796</v>
      </c>
      <c r="F53" s="5"/>
    </row>
    <row r="54" customFormat="false" ht="15" hidden="false" customHeight="false" outlineLevel="0" collapsed="false">
      <c r="A54" s="8"/>
      <c r="B54" s="8"/>
      <c r="C54" s="5" t="s">
        <v>552</v>
      </c>
      <c r="D54" s="24" t="n">
        <v>110</v>
      </c>
      <c r="E54" s="8" t="s">
        <v>796</v>
      </c>
      <c r="F54" s="5"/>
    </row>
    <row r="55" customFormat="false" ht="15" hidden="false" customHeight="false" outlineLevel="0" collapsed="false">
      <c r="A55" s="8"/>
      <c r="B55" s="8"/>
      <c r="C55" s="5" t="s">
        <v>528</v>
      </c>
      <c r="D55" s="24" t="n">
        <v>450</v>
      </c>
      <c r="E55" s="8" t="s">
        <v>796</v>
      </c>
      <c r="F55" s="5"/>
    </row>
    <row r="56" customFormat="false" ht="15" hidden="false" customHeight="false" outlineLevel="0" collapsed="false">
      <c r="A56" s="8"/>
      <c r="B56" s="8"/>
      <c r="C56" s="5" t="s">
        <v>818</v>
      </c>
      <c r="D56" s="24" t="n">
        <v>182</v>
      </c>
      <c r="E56" s="8" t="s">
        <v>796</v>
      </c>
      <c r="F56" s="5" t="s">
        <v>802</v>
      </c>
    </row>
    <row r="57" customFormat="false" ht="15" hidden="false" customHeight="false" outlineLevel="0" collapsed="false">
      <c r="A57" s="8"/>
      <c r="B57" s="8"/>
      <c r="C57" s="5" t="s">
        <v>573</v>
      </c>
      <c r="D57" s="24" t="n">
        <v>510</v>
      </c>
      <c r="E57" s="8" t="s">
        <v>796</v>
      </c>
      <c r="F57" s="5"/>
    </row>
    <row r="58" customFormat="false" ht="15" hidden="false" customHeight="false" outlineLevel="0" collapsed="false">
      <c r="A58" s="8"/>
      <c r="B58" s="8"/>
      <c r="C58" s="5" t="s">
        <v>651</v>
      </c>
      <c r="D58" s="24" t="n">
        <v>15</v>
      </c>
      <c r="E58" s="8" t="s">
        <v>796</v>
      </c>
      <c r="F58" s="5"/>
    </row>
    <row r="59" customFormat="false" ht="15" hidden="false" customHeight="false" outlineLevel="0" collapsed="false">
      <c r="A59" s="8"/>
      <c r="B59" s="8"/>
      <c r="C59" s="5" t="s">
        <v>695</v>
      </c>
      <c r="D59" s="24" t="n">
        <v>60</v>
      </c>
      <c r="E59" s="8" t="s">
        <v>796</v>
      </c>
      <c r="F59" s="5" t="s">
        <v>797</v>
      </c>
    </row>
    <row r="60" customFormat="false" ht="15" hidden="false" customHeight="false" outlineLevel="0" collapsed="false">
      <c r="A60" s="8"/>
      <c r="B60" s="8"/>
      <c r="C60" s="5" t="s">
        <v>819</v>
      </c>
      <c r="D60" s="24" t="n">
        <v>766</v>
      </c>
      <c r="E60" s="8" t="s">
        <v>796</v>
      </c>
      <c r="F60" s="5" t="s">
        <v>800</v>
      </c>
    </row>
    <row r="61" customFormat="false" ht="15" hidden="false" customHeight="false" outlineLevel="0" collapsed="false">
      <c r="A61" s="8"/>
      <c r="B61" s="8"/>
      <c r="C61" s="5" t="s">
        <v>820</v>
      </c>
      <c r="D61" s="24" t="n">
        <v>990</v>
      </c>
      <c r="E61" s="8" t="s">
        <v>796</v>
      </c>
      <c r="F61" s="5" t="s">
        <v>802</v>
      </c>
    </row>
    <row r="62" customFormat="false" ht="15" hidden="false" customHeight="false" outlineLevel="0" collapsed="false">
      <c r="A62" s="8"/>
      <c r="B62" s="8"/>
      <c r="C62" s="5" t="s">
        <v>549</v>
      </c>
      <c r="D62" s="24" t="n">
        <v>50</v>
      </c>
      <c r="E62" s="8" t="s">
        <v>796</v>
      </c>
      <c r="F62" s="5"/>
    </row>
    <row r="63" customFormat="false" ht="15" hidden="false" customHeight="false" outlineLevel="0" collapsed="false">
      <c r="A63" s="8"/>
      <c r="B63" s="8"/>
      <c r="C63" s="5" t="s">
        <v>503</v>
      </c>
      <c r="D63" s="24" t="n">
        <v>500</v>
      </c>
      <c r="E63" s="8" t="s">
        <v>796</v>
      </c>
      <c r="F63" s="5"/>
    </row>
    <row r="64" customFormat="false" ht="15" hidden="false" customHeight="false" outlineLevel="0" collapsed="false">
      <c r="A64" s="3"/>
      <c r="B64" s="3"/>
      <c r="C64" s="15" t="s">
        <v>821</v>
      </c>
      <c r="D64" s="3"/>
      <c r="E64" s="3"/>
      <c r="F64" s="3"/>
    </row>
    <row r="66" customFormat="false" ht="15" hidden="false" customHeight="false" outlineLevel="0" collapsed="false">
      <c r="A66" s="8" t="n">
        <v>2</v>
      </c>
      <c r="B66" s="8" t="s">
        <v>822</v>
      </c>
      <c r="C66" s="5" t="s">
        <v>794</v>
      </c>
      <c r="D66" s="8" t="n">
        <v>5</v>
      </c>
      <c r="E66" s="8" t="s">
        <v>795</v>
      </c>
      <c r="F66" s="5"/>
    </row>
    <row r="67" customFormat="false" ht="15" hidden="false" customHeight="false" outlineLevel="0" collapsed="false">
      <c r="A67" s="8"/>
      <c r="B67" s="8"/>
      <c r="C67" s="5" t="s">
        <v>678</v>
      </c>
      <c r="D67" s="24" t="n">
        <v>200</v>
      </c>
      <c r="E67" s="8" t="s">
        <v>796</v>
      </c>
      <c r="F67" s="5" t="s">
        <v>797</v>
      </c>
    </row>
    <row r="68" customFormat="false" ht="15" hidden="false" customHeight="false" outlineLevel="0" collapsed="false">
      <c r="A68" s="8"/>
      <c r="B68" s="8"/>
      <c r="C68" s="5" t="s">
        <v>681</v>
      </c>
      <c r="D68" s="24" t="n">
        <v>300</v>
      </c>
      <c r="E68" s="8" t="s">
        <v>796</v>
      </c>
      <c r="F68" s="5" t="s">
        <v>797</v>
      </c>
    </row>
    <row r="69" customFormat="false" ht="15" hidden="false" customHeight="false" outlineLevel="0" collapsed="false">
      <c r="A69" s="8"/>
      <c r="B69" s="8"/>
      <c r="C69" s="5" t="s">
        <v>684</v>
      </c>
      <c r="D69" s="24" t="n">
        <v>295</v>
      </c>
      <c r="E69" s="8" t="s">
        <v>796</v>
      </c>
      <c r="F69" s="5" t="s">
        <v>797</v>
      </c>
    </row>
    <row r="70" customFormat="false" ht="15" hidden="false" customHeight="false" outlineLevel="0" collapsed="false">
      <c r="A70" s="8"/>
      <c r="B70" s="8"/>
      <c r="C70" s="5" t="s">
        <v>535</v>
      </c>
      <c r="D70" s="24" t="n">
        <v>437</v>
      </c>
      <c r="E70" s="8" t="s">
        <v>796</v>
      </c>
      <c r="F70" s="5" t="s">
        <v>802</v>
      </c>
    </row>
    <row r="71" customFormat="false" ht="15" hidden="false" customHeight="false" outlineLevel="0" collapsed="false">
      <c r="A71" s="8"/>
      <c r="B71" s="8"/>
      <c r="C71" s="5" t="s">
        <v>685</v>
      </c>
      <c r="D71" s="24" t="n">
        <v>240</v>
      </c>
      <c r="E71" s="8" t="s">
        <v>796</v>
      </c>
      <c r="F71" s="5"/>
    </row>
    <row r="72" customFormat="false" ht="15" hidden="false" customHeight="false" outlineLevel="0" collapsed="false">
      <c r="A72" s="8"/>
      <c r="B72" s="8"/>
      <c r="C72" s="5" t="s">
        <v>669</v>
      </c>
      <c r="D72" s="24" t="n">
        <v>40</v>
      </c>
      <c r="E72" s="8" t="s">
        <v>796</v>
      </c>
      <c r="F72" s="5"/>
    </row>
    <row r="73" customFormat="false" ht="15" hidden="false" customHeight="false" outlineLevel="0" collapsed="false">
      <c r="A73" s="8"/>
      <c r="B73" s="8"/>
      <c r="C73" s="5" t="s">
        <v>641</v>
      </c>
      <c r="D73" s="24" t="n">
        <v>2.21</v>
      </c>
      <c r="E73" s="8" t="s">
        <v>798</v>
      </c>
      <c r="F73" s="5"/>
    </row>
    <row r="74" customFormat="false" ht="15" hidden="false" customHeight="false" outlineLevel="0" collapsed="false">
      <c r="A74" s="8"/>
      <c r="B74" s="8"/>
      <c r="C74" s="5" t="s">
        <v>640</v>
      </c>
      <c r="D74" s="24" t="n">
        <v>620</v>
      </c>
      <c r="E74" s="8" t="s">
        <v>796</v>
      </c>
      <c r="F74" s="5"/>
    </row>
    <row r="75" customFormat="false" ht="15" hidden="false" customHeight="false" outlineLevel="0" collapsed="false">
      <c r="A75" s="8"/>
      <c r="B75" s="8"/>
      <c r="C75" s="5" t="s">
        <v>805</v>
      </c>
      <c r="D75" s="24" t="n">
        <v>140</v>
      </c>
      <c r="E75" s="8" t="s">
        <v>796</v>
      </c>
      <c r="F75" s="5" t="s">
        <v>800</v>
      </c>
    </row>
    <row r="76" customFormat="false" ht="15" hidden="false" customHeight="false" outlineLevel="0" collapsed="false">
      <c r="A76" s="8"/>
      <c r="B76" s="8"/>
      <c r="C76" s="5" t="s">
        <v>510</v>
      </c>
      <c r="D76" s="24" t="n">
        <v>25</v>
      </c>
      <c r="E76" s="8" t="s">
        <v>796</v>
      </c>
      <c r="F76" s="5"/>
    </row>
    <row r="77" customFormat="false" ht="15" hidden="false" customHeight="false" outlineLevel="0" collapsed="false">
      <c r="A77" s="8"/>
      <c r="B77" s="8"/>
      <c r="C77" s="5" t="s">
        <v>713</v>
      </c>
      <c r="D77" s="24" t="n">
        <v>40</v>
      </c>
      <c r="E77" s="8" t="s">
        <v>796</v>
      </c>
      <c r="F77" s="5"/>
    </row>
    <row r="78" customFormat="false" ht="15" hidden="false" customHeight="false" outlineLevel="0" collapsed="false">
      <c r="A78" s="8"/>
      <c r="B78" s="8"/>
      <c r="C78" s="5" t="s">
        <v>574</v>
      </c>
      <c r="D78" s="24" t="n">
        <v>60</v>
      </c>
      <c r="E78" s="8" t="s">
        <v>796</v>
      </c>
      <c r="F78" s="5"/>
    </row>
    <row r="79" customFormat="false" ht="15" hidden="false" customHeight="false" outlineLevel="0" collapsed="false">
      <c r="A79" s="8"/>
      <c r="B79" s="8"/>
      <c r="C79" s="5" t="s">
        <v>540</v>
      </c>
      <c r="D79" s="24" t="n">
        <v>45</v>
      </c>
      <c r="E79" s="8" t="s">
        <v>796</v>
      </c>
      <c r="F79" s="5"/>
    </row>
    <row r="80" customFormat="false" ht="15" hidden="false" customHeight="false" outlineLevel="0" collapsed="false">
      <c r="A80" s="8"/>
      <c r="B80" s="8"/>
      <c r="C80" s="5" t="s">
        <v>530</v>
      </c>
      <c r="D80" s="24" t="n">
        <v>120</v>
      </c>
      <c r="E80" s="8" t="s">
        <v>796</v>
      </c>
      <c r="F80" s="5"/>
    </row>
    <row r="81" customFormat="false" ht="15" hidden="false" customHeight="false" outlineLevel="0" collapsed="false">
      <c r="A81" s="8"/>
      <c r="B81" s="8"/>
      <c r="C81" s="5" t="s">
        <v>541</v>
      </c>
      <c r="D81" s="24" t="n">
        <v>2.61</v>
      </c>
      <c r="E81" s="8" t="s">
        <v>809</v>
      </c>
      <c r="F81" s="5"/>
    </row>
    <row r="82" customFormat="false" ht="15" hidden="false" customHeight="false" outlineLevel="0" collapsed="false">
      <c r="A82" s="8"/>
      <c r="B82" s="8"/>
      <c r="C82" s="5" t="s">
        <v>488</v>
      </c>
      <c r="D82" s="24" t="n">
        <v>345</v>
      </c>
      <c r="E82" s="8" t="s">
        <v>796</v>
      </c>
      <c r="F82" s="5"/>
    </row>
    <row r="83" customFormat="false" ht="15" hidden="false" customHeight="false" outlineLevel="0" collapsed="false">
      <c r="A83" s="8"/>
      <c r="B83" s="8"/>
      <c r="C83" s="5" t="s">
        <v>653</v>
      </c>
      <c r="D83" s="24" t="n">
        <v>85</v>
      </c>
      <c r="E83" s="8" t="s">
        <v>796</v>
      </c>
      <c r="F83" s="5"/>
    </row>
    <row r="84" customFormat="false" ht="15" hidden="false" customHeight="false" outlineLevel="0" collapsed="false">
      <c r="A84" s="8"/>
      <c r="B84" s="8"/>
      <c r="C84" s="5" t="s">
        <v>655</v>
      </c>
      <c r="D84" s="24" t="n">
        <v>150</v>
      </c>
      <c r="E84" s="8" t="s">
        <v>796</v>
      </c>
      <c r="F84" s="5"/>
    </row>
    <row r="85" customFormat="false" ht="15" hidden="false" customHeight="false" outlineLevel="0" collapsed="false">
      <c r="A85" s="8"/>
      <c r="B85" s="8"/>
      <c r="C85" s="5" t="s">
        <v>811</v>
      </c>
      <c r="D85" s="24" t="n">
        <v>625</v>
      </c>
      <c r="E85" s="8" t="s">
        <v>796</v>
      </c>
      <c r="F85" s="5" t="s">
        <v>802</v>
      </c>
    </row>
    <row r="86" customFormat="false" ht="15" hidden="false" customHeight="false" outlineLevel="0" collapsed="false">
      <c r="A86" s="8"/>
      <c r="B86" s="8"/>
      <c r="C86" s="5" t="s">
        <v>490</v>
      </c>
      <c r="D86" s="24" t="n">
        <v>5</v>
      </c>
      <c r="E86" s="8" t="s">
        <v>796</v>
      </c>
      <c r="F86" s="5"/>
    </row>
    <row r="87" customFormat="false" ht="15" hidden="false" customHeight="false" outlineLevel="0" collapsed="false">
      <c r="A87" s="8"/>
      <c r="B87" s="8"/>
      <c r="C87" s="5" t="s">
        <v>509</v>
      </c>
      <c r="D87" s="24" t="n">
        <v>60</v>
      </c>
      <c r="E87" s="8" t="s">
        <v>796</v>
      </c>
      <c r="F87" s="5"/>
    </row>
    <row r="88" customFormat="false" ht="15" hidden="false" customHeight="false" outlineLevel="0" collapsed="false">
      <c r="A88" s="8"/>
      <c r="B88" s="8"/>
      <c r="C88" s="5" t="s">
        <v>542</v>
      </c>
      <c r="D88" s="24" t="n">
        <v>290</v>
      </c>
      <c r="E88" s="8" t="s">
        <v>796</v>
      </c>
      <c r="F88" s="5"/>
    </row>
    <row r="89" customFormat="false" ht="15" hidden="false" customHeight="false" outlineLevel="0" collapsed="false">
      <c r="A89" s="8"/>
      <c r="B89" s="8"/>
      <c r="C89" s="5" t="s">
        <v>634</v>
      </c>
      <c r="D89" s="24" t="n">
        <v>1.09</v>
      </c>
      <c r="E89" s="8" t="s">
        <v>798</v>
      </c>
      <c r="F89" s="5"/>
    </row>
    <row r="90" customFormat="false" ht="15" hidden="false" customHeight="false" outlineLevel="0" collapsed="false">
      <c r="A90" s="8"/>
      <c r="B90" s="8"/>
      <c r="C90" s="5" t="s">
        <v>538</v>
      </c>
      <c r="D90" s="24" t="n">
        <v>12</v>
      </c>
      <c r="E90" s="8" t="s">
        <v>796</v>
      </c>
      <c r="F90" s="5"/>
    </row>
    <row r="91" customFormat="false" ht="15" hidden="false" customHeight="false" outlineLevel="0" collapsed="false">
      <c r="A91" s="8"/>
      <c r="B91" s="8"/>
      <c r="C91" s="5" t="s">
        <v>647</v>
      </c>
      <c r="D91" s="24" t="n">
        <v>250</v>
      </c>
      <c r="E91" s="8" t="s">
        <v>796</v>
      </c>
      <c r="F91" s="5"/>
    </row>
    <row r="92" customFormat="false" ht="15" hidden="false" customHeight="false" outlineLevel="0" collapsed="false">
      <c r="A92" s="8"/>
      <c r="B92" s="8"/>
      <c r="C92" s="5" t="s">
        <v>648</v>
      </c>
      <c r="D92" s="24" t="n">
        <v>90</v>
      </c>
      <c r="E92" s="8" t="s">
        <v>796</v>
      </c>
      <c r="F92" s="5"/>
    </row>
    <row r="93" customFormat="false" ht="15" hidden="false" customHeight="false" outlineLevel="0" collapsed="false">
      <c r="A93" s="8"/>
      <c r="B93" s="8"/>
      <c r="C93" s="5" t="s">
        <v>639</v>
      </c>
      <c r="D93" s="24" t="n">
        <v>260</v>
      </c>
      <c r="E93" s="8" t="s">
        <v>796</v>
      </c>
      <c r="F93" s="5"/>
    </row>
    <row r="94" customFormat="false" ht="15" hidden="false" customHeight="false" outlineLevel="0" collapsed="false">
      <c r="A94" s="8"/>
      <c r="B94" s="8"/>
      <c r="C94" s="5" t="s">
        <v>544</v>
      </c>
      <c r="D94" s="24" t="n">
        <v>160</v>
      </c>
      <c r="E94" s="8" t="s">
        <v>796</v>
      </c>
      <c r="F94" s="5"/>
    </row>
    <row r="95" customFormat="false" ht="15" hidden="false" customHeight="false" outlineLevel="0" collapsed="false">
      <c r="A95" s="8"/>
      <c r="B95" s="8"/>
      <c r="C95" s="5" t="s">
        <v>823</v>
      </c>
      <c r="D95" s="24" t="n">
        <v>168</v>
      </c>
      <c r="E95" s="8" t="s">
        <v>796</v>
      </c>
      <c r="F95" s="5" t="s">
        <v>800</v>
      </c>
    </row>
    <row r="96" customFormat="false" ht="15" hidden="false" customHeight="false" outlineLevel="0" collapsed="false">
      <c r="A96" s="8"/>
      <c r="B96" s="8"/>
      <c r="C96" s="5" t="s">
        <v>489</v>
      </c>
      <c r="D96" s="24" t="n">
        <v>78</v>
      </c>
      <c r="E96" s="8" t="s">
        <v>796</v>
      </c>
      <c r="F96" s="5"/>
    </row>
    <row r="97" customFormat="false" ht="15" hidden="false" customHeight="false" outlineLevel="0" collapsed="false">
      <c r="A97" s="8"/>
      <c r="B97" s="8"/>
      <c r="C97" s="5" t="s">
        <v>812</v>
      </c>
      <c r="D97" s="24" t="n">
        <v>374</v>
      </c>
      <c r="E97" s="8" t="s">
        <v>796</v>
      </c>
      <c r="F97" s="5" t="s">
        <v>802</v>
      </c>
    </row>
    <row r="98" customFormat="false" ht="15" hidden="false" customHeight="false" outlineLevel="0" collapsed="false">
      <c r="A98" s="8"/>
      <c r="B98" s="8"/>
      <c r="C98" s="5" t="s">
        <v>498</v>
      </c>
      <c r="D98" s="24" t="n">
        <v>150</v>
      </c>
      <c r="E98" s="8" t="s">
        <v>796</v>
      </c>
      <c r="F98" s="5"/>
    </row>
    <row r="99" customFormat="false" ht="15" hidden="false" customHeight="false" outlineLevel="0" collapsed="false">
      <c r="A99" s="8"/>
      <c r="B99" s="8"/>
      <c r="C99" s="5" t="s">
        <v>813</v>
      </c>
      <c r="D99" s="24" t="n">
        <v>269</v>
      </c>
      <c r="E99" s="8" t="s">
        <v>796</v>
      </c>
      <c r="F99" s="5" t="s">
        <v>800</v>
      </c>
    </row>
    <row r="100" customFormat="false" ht="15" hidden="false" customHeight="false" outlineLevel="0" collapsed="false">
      <c r="A100" s="8"/>
      <c r="B100" s="8"/>
      <c r="C100" s="5" t="s">
        <v>605</v>
      </c>
      <c r="D100" s="24" t="n">
        <v>25</v>
      </c>
      <c r="E100" s="8" t="s">
        <v>796</v>
      </c>
      <c r="F100" s="5"/>
    </row>
    <row r="101" customFormat="false" ht="15" hidden="false" customHeight="false" outlineLevel="0" collapsed="false">
      <c r="A101" s="8"/>
      <c r="B101" s="8"/>
      <c r="C101" s="5" t="s">
        <v>607</v>
      </c>
      <c r="D101" s="24" t="n">
        <v>155</v>
      </c>
      <c r="E101" s="8" t="s">
        <v>796</v>
      </c>
      <c r="F101" s="5"/>
    </row>
    <row r="102" customFormat="false" ht="15" hidden="false" customHeight="false" outlineLevel="0" collapsed="false">
      <c r="A102" s="8"/>
      <c r="B102" s="8"/>
      <c r="C102" s="5" t="s">
        <v>548</v>
      </c>
      <c r="D102" s="24" t="n">
        <v>190</v>
      </c>
      <c r="E102" s="8" t="s">
        <v>796</v>
      </c>
      <c r="F102" s="5"/>
    </row>
    <row r="103" customFormat="false" ht="15" hidden="false" customHeight="false" outlineLevel="0" collapsed="false">
      <c r="A103" s="8"/>
      <c r="B103" s="8"/>
      <c r="C103" s="5" t="s">
        <v>626</v>
      </c>
      <c r="D103" s="24" t="n">
        <v>50</v>
      </c>
      <c r="E103" s="8" t="s">
        <v>796</v>
      </c>
      <c r="F103" s="5"/>
    </row>
    <row r="104" customFormat="false" ht="15" hidden="false" customHeight="false" outlineLevel="0" collapsed="false">
      <c r="A104" s="8"/>
      <c r="B104" s="8"/>
      <c r="C104" s="5" t="s">
        <v>689</v>
      </c>
      <c r="D104" s="24" t="n">
        <v>220</v>
      </c>
      <c r="E104" s="8" t="s">
        <v>796</v>
      </c>
      <c r="F104" s="5"/>
    </row>
    <row r="105" customFormat="false" ht="15" hidden="false" customHeight="false" outlineLevel="0" collapsed="false">
      <c r="A105" s="8"/>
      <c r="B105" s="8"/>
      <c r="C105" s="5" t="s">
        <v>526</v>
      </c>
      <c r="D105" s="24" t="n">
        <v>400</v>
      </c>
      <c r="E105" s="8" t="s">
        <v>796</v>
      </c>
      <c r="F105" s="5"/>
    </row>
    <row r="106" customFormat="false" ht="15" hidden="false" customHeight="false" outlineLevel="0" collapsed="false">
      <c r="A106" s="8"/>
      <c r="B106" s="8"/>
      <c r="C106" s="5" t="s">
        <v>824</v>
      </c>
      <c r="D106" s="24" t="n">
        <v>176</v>
      </c>
      <c r="E106" s="8" t="s">
        <v>796</v>
      </c>
      <c r="F106" s="5" t="s">
        <v>802</v>
      </c>
    </row>
    <row r="107" customFormat="false" ht="15" hidden="false" customHeight="false" outlineLevel="0" collapsed="false">
      <c r="A107" s="8"/>
      <c r="B107" s="8"/>
      <c r="C107" s="5" t="s">
        <v>815</v>
      </c>
      <c r="D107" s="24" t="n">
        <v>436</v>
      </c>
      <c r="E107" s="8" t="s">
        <v>796</v>
      </c>
      <c r="F107" s="5" t="s">
        <v>802</v>
      </c>
    </row>
    <row r="108" customFormat="false" ht="15" hidden="false" customHeight="false" outlineLevel="0" collapsed="false">
      <c r="A108" s="8"/>
      <c r="B108" s="8"/>
      <c r="C108" s="5" t="s">
        <v>825</v>
      </c>
      <c r="D108" s="24" t="n">
        <v>344</v>
      </c>
      <c r="E108" s="8" t="s">
        <v>796</v>
      </c>
      <c r="F108" s="5" t="s">
        <v>802</v>
      </c>
    </row>
    <row r="109" customFormat="false" ht="15" hidden="false" customHeight="false" outlineLevel="0" collapsed="false">
      <c r="A109" s="8"/>
      <c r="B109" s="8"/>
      <c r="C109" s="5" t="s">
        <v>826</v>
      </c>
      <c r="D109" s="24" t="n">
        <v>188</v>
      </c>
      <c r="E109" s="8" t="s">
        <v>796</v>
      </c>
      <c r="F109" s="5" t="s">
        <v>802</v>
      </c>
    </row>
    <row r="110" customFormat="false" ht="15" hidden="false" customHeight="false" outlineLevel="0" collapsed="false">
      <c r="A110" s="8"/>
      <c r="B110" s="8"/>
      <c r="C110" s="5" t="s">
        <v>708</v>
      </c>
      <c r="D110" s="24" t="n">
        <v>0.6</v>
      </c>
      <c r="E110" s="8" t="s">
        <v>809</v>
      </c>
      <c r="F110" s="5"/>
    </row>
    <row r="111" customFormat="false" ht="15" hidden="false" customHeight="false" outlineLevel="0" collapsed="false">
      <c r="A111" s="8"/>
      <c r="B111" s="8"/>
      <c r="C111" s="5" t="s">
        <v>638</v>
      </c>
      <c r="D111" s="24" t="n">
        <v>860</v>
      </c>
      <c r="E111" s="8" t="s">
        <v>796</v>
      </c>
      <c r="F111" s="5"/>
    </row>
    <row r="112" customFormat="false" ht="15" hidden="false" customHeight="false" outlineLevel="0" collapsed="false">
      <c r="A112" s="8"/>
      <c r="B112" s="8"/>
      <c r="C112" s="5" t="s">
        <v>536</v>
      </c>
      <c r="D112" s="24" t="n">
        <v>210</v>
      </c>
      <c r="E112" s="8" t="s">
        <v>796</v>
      </c>
      <c r="F112" s="5"/>
    </row>
    <row r="113" customFormat="false" ht="15" hidden="false" customHeight="false" outlineLevel="0" collapsed="false">
      <c r="A113" s="8"/>
      <c r="B113" s="8"/>
      <c r="C113" s="5" t="s">
        <v>827</v>
      </c>
      <c r="D113" s="24" t="n">
        <v>770</v>
      </c>
      <c r="E113" s="8" t="s">
        <v>796</v>
      </c>
      <c r="F113" s="5" t="s">
        <v>802</v>
      </c>
    </row>
    <row r="114" customFormat="false" ht="15" hidden="false" customHeight="false" outlineLevel="0" collapsed="false">
      <c r="A114" s="8"/>
      <c r="B114" s="8"/>
      <c r="C114" s="5" t="s">
        <v>537</v>
      </c>
      <c r="D114" s="24" t="n">
        <v>380</v>
      </c>
      <c r="E114" s="8" t="s">
        <v>796</v>
      </c>
      <c r="F114" s="5"/>
    </row>
    <row r="115" customFormat="false" ht="15" hidden="false" customHeight="false" outlineLevel="0" collapsed="false">
      <c r="A115" s="8"/>
      <c r="B115" s="8"/>
      <c r="C115" s="5" t="s">
        <v>528</v>
      </c>
      <c r="D115" s="24" t="n">
        <v>300</v>
      </c>
      <c r="E115" s="8" t="s">
        <v>796</v>
      </c>
      <c r="F115" s="5"/>
    </row>
    <row r="116" customFormat="false" ht="15" hidden="false" customHeight="false" outlineLevel="0" collapsed="false">
      <c r="A116" s="8"/>
      <c r="B116" s="8"/>
      <c r="C116" s="5" t="s">
        <v>545</v>
      </c>
      <c r="D116" s="24" t="n">
        <v>90</v>
      </c>
      <c r="E116" s="8" t="s">
        <v>796</v>
      </c>
      <c r="F116" s="5"/>
    </row>
    <row r="117" customFormat="false" ht="15" hidden="false" customHeight="false" outlineLevel="0" collapsed="false">
      <c r="A117" s="8"/>
      <c r="B117" s="8"/>
      <c r="C117" s="5" t="s">
        <v>818</v>
      </c>
      <c r="D117" s="24" t="n">
        <v>104</v>
      </c>
      <c r="E117" s="8" t="s">
        <v>796</v>
      </c>
      <c r="F117" s="5" t="s">
        <v>802</v>
      </c>
    </row>
    <row r="118" customFormat="false" ht="15" hidden="false" customHeight="false" outlineLevel="0" collapsed="false">
      <c r="A118" s="8"/>
      <c r="B118" s="8"/>
      <c r="C118" s="5" t="s">
        <v>573</v>
      </c>
      <c r="D118" s="24" t="n">
        <v>850</v>
      </c>
      <c r="E118" s="8" t="s">
        <v>796</v>
      </c>
      <c r="F118" s="5"/>
    </row>
    <row r="119" customFormat="false" ht="15" hidden="false" customHeight="false" outlineLevel="0" collapsed="false">
      <c r="A119" s="8"/>
      <c r="B119" s="8"/>
      <c r="C119" s="5" t="s">
        <v>651</v>
      </c>
      <c r="D119" s="24" t="n">
        <v>30</v>
      </c>
      <c r="E119" s="8" t="s">
        <v>796</v>
      </c>
      <c r="F119" s="5"/>
    </row>
    <row r="120" customFormat="false" ht="15" hidden="false" customHeight="false" outlineLevel="0" collapsed="false">
      <c r="A120" s="8"/>
      <c r="B120" s="8"/>
      <c r="C120" s="5" t="s">
        <v>695</v>
      </c>
      <c r="D120" s="24" t="n">
        <v>60</v>
      </c>
      <c r="E120" s="8" t="s">
        <v>796</v>
      </c>
      <c r="F120" s="5" t="s">
        <v>797</v>
      </c>
    </row>
    <row r="121" customFormat="false" ht="15" hidden="false" customHeight="false" outlineLevel="0" collapsed="false">
      <c r="A121" s="8"/>
      <c r="B121" s="8"/>
      <c r="C121" s="5" t="s">
        <v>534</v>
      </c>
      <c r="D121" s="24" t="n">
        <v>110</v>
      </c>
      <c r="E121" s="8" t="s">
        <v>796</v>
      </c>
      <c r="F121" s="5"/>
    </row>
    <row r="122" customFormat="false" ht="15" hidden="false" customHeight="false" outlineLevel="0" collapsed="false">
      <c r="A122" s="8"/>
      <c r="B122" s="8"/>
      <c r="C122" s="5" t="s">
        <v>819</v>
      </c>
      <c r="D122" s="24" t="n">
        <v>418</v>
      </c>
      <c r="E122" s="8" t="s">
        <v>796</v>
      </c>
      <c r="F122" s="5" t="s">
        <v>800</v>
      </c>
    </row>
    <row r="123" customFormat="false" ht="15" hidden="false" customHeight="false" outlineLevel="0" collapsed="false">
      <c r="A123" s="8"/>
      <c r="B123" s="8"/>
      <c r="C123" s="5" t="s">
        <v>820</v>
      </c>
      <c r="D123" s="24" t="n">
        <v>990</v>
      </c>
      <c r="E123" s="8" t="s">
        <v>796</v>
      </c>
      <c r="F123" s="5" t="s">
        <v>802</v>
      </c>
    </row>
    <row r="124" customFormat="false" ht="15" hidden="false" customHeight="false" outlineLevel="0" collapsed="false">
      <c r="A124" s="8"/>
      <c r="B124" s="8"/>
      <c r="C124" s="5" t="s">
        <v>549</v>
      </c>
      <c r="D124" s="24" t="n">
        <v>50</v>
      </c>
      <c r="E124" s="8" t="s">
        <v>796</v>
      </c>
      <c r="F124" s="5"/>
    </row>
    <row r="125" customFormat="false" ht="15" hidden="false" customHeight="false" outlineLevel="0" collapsed="false">
      <c r="A125" s="8"/>
      <c r="B125" s="8"/>
      <c r="C125" s="5" t="s">
        <v>828</v>
      </c>
      <c r="D125" s="24" t="n">
        <v>418</v>
      </c>
      <c r="E125" s="8" t="s">
        <v>796</v>
      </c>
      <c r="F125" s="5" t="s">
        <v>802</v>
      </c>
    </row>
    <row r="126" customFormat="false" ht="15" hidden="false" customHeight="false" outlineLevel="0" collapsed="false">
      <c r="A126" s="8"/>
      <c r="B126" s="8"/>
      <c r="C126" s="5" t="s">
        <v>829</v>
      </c>
      <c r="D126" s="24" t="n">
        <v>150</v>
      </c>
      <c r="E126" s="8" t="s">
        <v>796</v>
      </c>
      <c r="F126" s="5"/>
    </row>
    <row r="127" customFormat="false" ht="15" hidden="false" customHeight="false" outlineLevel="0" collapsed="false">
      <c r="A127" s="3"/>
      <c r="B127" s="3"/>
      <c r="C127" s="15" t="s">
        <v>830</v>
      </c>
      <c r="D127" s="3"/>
      <c r="E127" s="3"/>
      <c r="F127" s="3"/>
    </row>
    <row r="129" customFormat="false" ht="15" hidden="false" customHeight="false" outlineLevel="0" collapsed="false">
      <c r="A129" s="8" t="n">
        <v>3</v>
      </c>
      <c r="B129" s="8" t="s">
        <v>831</v>
      </c>
      <c r="C129" s="5" t="s">
        <v>794</v>
      </c>
      <c r="D129" s="8" t="n">
        <v>5</v>
      </c>
      <c r="E129" s="8" t="s">
        <v>795</v>
      </c>
      <c r="F129" s="5"/>
    </row>
    <row r="130" customFormat="false" ht="15" hidden="false" customHeight="false" outlineLevel="0" collapsed="false">
      <c r="A130" s="8"/>
      <c r="B130" s="8"/>
      <c r="C130" s="5" t="s">
        <v>678</v>
      </c>
      <c r="D130" s="24" t="n">
        <v>200</v>
      </c>
      <c r="E130" s="8" t="s">
        <v>796</v>
      </c>
      <c r="F130" s="5" t="s">
        <v>797</v>
      </c>
    </row>
    <row r="131" customFormat="false" ht="15" hidden="false" customHeight="false" outlineLevel="0" collapsed="false">
      <c r="A131" s="8"/>
      <c r="B131" s="8"/>
      <c r="C131" s="5" t="s">
        <v>681</v>
      </c>
      <c r="D131" s="24" t="n">
        <v>200</v>
      </c>
      <c r="E131" s="8" t="s">
        <v>796</v>
      </c>
      <c r="F131" s="5" t="s">
        <v>797</v>
      </c>
    </row>
    <row r="132" customFormat="false" ht="15" hidden="false" customHeight="false" outlineLevel="0" collapsed="false">
      <c r="A132" s="8"/>
      <c r="B132" s="8"/>
      <c r="C132" s="5" t="s">
        <v>684</v>
      </c>
      <c r="D132" s="24" t="n">
        <v>480</v>
      </c>
      <c r="E132" s="8" t="s">
        <v>796</v>
      </c>
      <c r="F132" s="5" t="s">
        <v>797</v>
      </c>
    </row>
    <row r="133" customFormat="false" ht="15" hidden="false" customHeight="false" outlineLevel="0" collapsed="false">
      <c r="A133" s="8"/>
      <c r="B133" s="8"/>
      <c r="C133" s="5" t="s">
        <v>685</v>
      </c>
      <c r="D133" s="24" t="n">
        <v>360</v>
      </c>
      <c r="E133" s="8" t="s">
        <v>796</v>
      </c>
      <c r="F133" s="5"/>
    </row>
    <row r="134" customFormat="false" ht="15" hidden="false" customHeight="false" outlineLevel="0" collapsed="false">
      <c r="A134" s="8"/>
      <c r="B134" s="8"/>
      <c r="C134" s="5" t="s">
        <v>669</v>
      </c>
      <c r="D134" s="24" t="n">
        <v>60</v>
      </c>
      <c r="E134" s="8" t="s">
        <v>796</v>
      </c>
      <c r="F134" s="5"/>
    </row>
    <row r="135" customFormat="false" ht="15" hidden="false" customHeight="false" outlineLevel="0" collapsed="false">
      <c r="A135" s="8"/>
      <c r="B135" s="8"/>
      <c r="C135" s="5" t="s">
        <v>561</v>
      </c>
      <c r="D135" s="24" t="n">
        <v>70</v>
      </c>
      <c r="E135" s="8" t="s">
        <v>796</v>
      </c>
      <c r="F135" s="5"/>
    </row>
    <row r="136" customFormat="false" ht="15" hidden="false" customHeight="false" outlineLevel="0" collapsed="false">
      <c r="A136" s="8"/>
      <c r="B136" s="8"/>
      <c r="C136" s="5" t="s">
        <v>641</v>
      </c>
      <c r="D136" s="24" t="n">
        <v>1.84</v>
      </c>
      <c r="E136" s="8" t="s">
        <v>798</v>
      </c>
      <c r="F136" s="5"/>
    </row>
    <row r="137" customFormat="false" ht="15" hidden="false" customHeight="false" outlineLevel="0" collapsed="false">
      <c r="A137" s="8"/>
      <c r="B137" s="8"/>
      <c r="C137" s="5" t="s">
        <v>640</v>
      </c>
      <c r="D137" s="24" t="n">
        <v>300</v>
      </c>
      <c r="E137" s="8" t="s">
        <v>796</v>
      </c>
      <c r="F137" s="5"/>
    </row>
    <row r="138" customFormat="false" ht="15" hidden="false" customHeight="false" outlineLevel="0" collapsed="false">
      <c r="A138" s="8"/>
      <c r="B138" s="8"/>
      <c r="C138" s="5" t="s">
        <v>803</v>
      </c>
      <c r="D138" s="24" t="n">
        <v>198</v>
      </c>
      <c r="E138" s="8" t="s">
        <v>796</v>
      </c>
      <c r="F138" s="5" t="s">
        <v>802</v>
      </c>
    </row>
    <row r="139" customFormat="false" ht="15" hidden="false" customHeight="false" outlineLevel="0" collapsed="false">
      <c r="A139" s="8"/>
      <c r="B139" s="8"/>
      <c r="C139" s="5" t="s">
        <v>514</v>
      </c>
      <c r="D139" s="24" t="n">
        <v>30</v>
      </c>
      <c r="E139" s="8" t="s">
        <v>796</v>
      </c>
      <c r="F139" s="5"/>
    </row>
    <row r="140" customFormat="false" ht="15" hidden="false" customHeight="false" outlineLevel="0" collapsed="false">
      <c r="A140" s="8"/>
      <c r="B140" s="8"/>
      <c r="C140" s="5" t="s">
        <v>832</v>
      </c>
      <c r="D140" s="24" t="n">
        <v>132</v>
      </c>
      <c r="E140" s="8" t="s">
        <v>796</v>
      </c>
      <c r="F140" s="5" t="s">
        <v>802</v>
      </c>
    </row>
    <row r="141" customFormat="false" ht="15" hidden="false" customHeight="false" outlineLevel="0" collapsed="false">
      <c r="A141" s="8"/>
      <c r="B141" s="8"/>
      <c r="C141" s="5" t="s">
        <v>713</v>
      </c>
      <c r="D141" s="24" t="n">
        <v>40</v>
      </c>
      <c r="E141" s="8" t="s">
        <v>796</v>
      </c>
      <c r="F141" s="5"/>
    </row>
    <row r="142" customFormat="false" ht="15" hidden="false" customHeight="false" outlineLevel="0" collapsed="false">
      <c r="A142" s="8"/>
      <c r="B142" s="8"/>
      <c r="C142" s="5" t="s">
        <v>833</v>
      </c>
      <c r="D142" s="24" t="n">
        <v>70</v>
      </c>
      <c r="E142" s="8" t="s">
        <v>796</v>
      </c>
      <c r="F142" s="5"/>
    </row>
    <row r="143" customFormat="false" ht="15" hidden="false" customHeight="false" outlineLevel="0" collapsed="false">
      <c r="A143" s="8"/>
      <c r="B143" s="8"/>
      <c r="C143" s="5" t="s">
        <v>806</v>
      </c>
      <c r="D143" s="8" t="n">
        <v>2</v>
      </c>
      <c r="E143" s="8" t="s">
        <v>807</v>
      </c>
      <c r="F143" s="5" t="s">
        <v>808</v>
      </c>
    </row>
    <row r="144" customFormat="false" ht="15" hidden="false" customHeight="false" outlineLevel="0" collapsed="false">
      <c r="A144" s="8"/>
      <c r="B144" s="8"/>
      <c r="C144" s="5" t="s">
        <v>574</v>
      </c>
      <c r="D144" s="24" t="n">
        <v>70</v>
      </c>
      <c r="E144" s="8" t="s">
        <v>796</v>
      </c>
      <c r="F144" s="5"/>
    </row>
    <row r="145" customFormat="false" ht="15" hidden="false" customHeight="false" outlineLevel="0" collapsed="false">
      <c r="A145" s="8"/>
      <c r="B145" s="8"/>
      <c r="C145" s="5" t="s">
        <v>834</v>
      </c>
      <c r="D145" s="24" t="n">
        <v>276</v>
      </c>
      <c r="E145" s="8" t="s">
        <v>796</v>
      </c>
      <c r="F145" s="5" t="s">
        <v>802</v>
      </c>
    </row>
    <row r="146" customFormat="false" ht="15" hidden="false" customHeight="false" outlineLevel="0" collapsed="false">
      <c r="A146" s="8"/>
      <c r="B146" s="8"/>
      <c r="C146" s="5" t="s">
        <v>497</v>
      </c>
      <c r="D146" s="24" t="n">
        <v>188</v>
      </c>
      <c r="E146" s="8" t="s">
        <v>796</v>
      </c>
      <c r="F146" s="5" t="s">
        <v>802</v>
      </c>
    </row>
    <row r="147" customFormat="false" ht="15" hidden="false" customHeight="false" outlineLevel="0" collapsed="false">
      <c r="A147" s="8"/>
      <c r="B147" s="8"/>
      <c r="C147" s="5" t="s">
        <v>540</v>
      </c>
      <c r="D147" s="24" t="n">
        <v>40</v>
      </c>
      <c r="E147" s="8" t="s">
        <v>796</v>
      </c>
      <c r="F147" s="5"/>
    </row>
    <row r="148" customFormat="false" ht="15" hidden="false" customHeight="false" outlineLevel="0" collapsed="false">
      <c r="A148" s="8"/>
      <c r="B148" s="8"/>
      <c r="C148" s="5" t="s">
        <v>541</v>
      </c>
      <c r="D148" s="24" t="n">
        <v>2.63</v>
      </c>
      <c r="E148" s="8" t="s">
        <v>809</v>
      </c>
      <c r="F148" s="5"/>
    </row>
    <row r="149" customFormat="false" ht="15" hidden="false" customHeight="false" outlineLevel="0" collapsed="false">
      <c r="A149" s="8"/>
      <c r="B149" s="8"/>
      <c r="C149" s="5" t="s">
        <v>488</v>
      </c>
      <c r="D149" s="24" t="n">
        <v>315</v>
      </c>
      <c r="E149" s="8" t="s">
        <v>796</v>
      </c>
      <c r="F149" s="5"/>
    </row>
    <row r="150" customFormat="false" ht="15" hidden="false" customHeight="false" outlineLevel="0" collapsed="false">
      <c r="A150" s="8"/>
      <c r="B150" s="8"/>
      <c r="C150" s="5" t="s">
        <v>835</v>
      </c>
      <c r="D150" s="24" t="n">
        <v>138</v>
      </c>
      <c r="E150" s="8" t="s">
        <v>796</v>
      </c>
      <c r="F150" s="5" t="s">
        <v>802</v>
      </c>
    </row>
    <row r="151" customFormat="false" ht="15" hidden="false" customHeight="false" outlineLevel="0" collapsed="false">
      <c r="A151" s="8"/>
      <c r="B151" s="8"/>
      <c r="C151" s="5" t="s">
        <v>599</v>
      </c>
      <c r="D151" s="24" t="n">
        <v>120</v>
      </c>
      <c r="E151" s="8" t="s">
        <v>796</v>
      </c>
      <c r="F151" s="5"/>
    </row>
    <row r="152" customFormat="false" ht="15" hidden="false" customHeight="false" outlineLevel="0" collapsed="false">
      <c r="A152" s="8"/>
      <c r="B152" s="8"/>
      <c r="C152" s="5" t="s">
        <v>811</v>
      </c>
      <c r="D152" s="24" t="n">
        <v>239</v>
      </c>
      <c r="E152" s="8" t="s">
        <v>796</v>
      </c>
      <c r="F152" s="5" t="s">
        <v>802</v>
      </c>
    </row>
    <row r="153" customFormat="false" ht="15" hidden="false" customHeight="false" outlineLevel="0" collapsed="false">
      <c r="A153" s="8"/>
      <c r="B153" s="8"/>
      <c r="C153" s="5" t="s">
        <v>490</v>
      </c>
      <c r="D153" s="24" t="n">
        <v>14</v>
      </c>
      <c r="E153" s="8" t="s">
        <v>796</v>
      </c>
      <c r="F153" s="5"/>
    </row>
    <row r="154" customFormat="false" ht="15" hidden="false" customHeight="false" outlineLevel="0" collapsed="false">
      <c r="A154" s="8"/>
      <c r="B154" s="8"/>
      <c r="C154" s="5" t="s">
        <v>542</v>
      </c>
      <c r="D154" s="24" t="n">
        <v>550</v>
      </c>
      <c r="E154" s="8" t="s">
        <v>796</v>
      </c>
      <c r="F154" s="5"/>
    </row>
    <row r="155" customFormat="false" ht="15" hidden="false" customHeight="false" outlineLevel="0" collapsed="false">
      <c r="A155" s="8"/>
      <c r="B155" s="8"/>
      <c r="C155" s="5" t="s">
        <v>634</v>
      </c>
      <c r="D155" s="24" t="n">
        <v>1.29</v>
      </c>
      <c r="E155" s="8" t="s">
        <v>798</v>
      </c>
      <c r="F155" s="5"/>
    </row>
    <row r="156" customFormat="false" ht="15" hidden="false" customHeight="false" outlineLevel="0" collapsed="false">
      <c r="A156" s="8"/>
      <c r="B156" s="8"/>
      <c r="C156" s="5" t="s">
        <v>554</v>
      </c>
      <c r="D156" s="24" t="n">
        <v>210</v>
      </c>
      <c r="E156" s="8" t="s">
        <v>796</v>
      </c>
      <c r="F156" s="5"/>
    </row>
    <row r="157" customFormat="false" ht="15" hidden="false" customHeight="false" outlineLevel="0" collapsed="false">
      <c r="A157" s="8"/>
      <c r="B157" s="8"/>
      <c r="C157" s="5" t="s">
        <v>538</v>
      </c>
      <c r="D157" s="24" t="n">
        <v>15</v>
      </c>
      <c r="E157" s="8" t="s">
        <v>796</v>
      </c>
      <c r="F157" s="5"/>
    </row>
    <row r="158" customFormat="false" ht="15" hidden="false" customHeight="false" outlineLevel="0" collapsed="false">
      <c r="A158" s="8"/>
      <c r="B158" s="8"/>
      <c r="C158" s="5" t="s">
        <v>639</v>
      </c>
      <c r="D158" s="24" t="n">
        <v>210</v>
      </c>
      <c r="E158" s="8" t="s">
        <v>796</v>
      </c>
      <c r="F158" s="5"/>
    </row>
    <row r="159" customFormat="false" ht="15" hidden="false" customHeight="false" outlineLevel="0" collapsed="false">
      <c r="A159" s="8"/>
      <c r="B159" s="8"/>
      <c r="C159" s="5" t="s">
        <v>823</v>
      </c>
      <c r="D159" s="24" t="n">
        <v>168</v>
      </c>
      <c r="E159" s="8" t="s">
        <v>796</v>
      </c>
      <c r="F159" s="5" t="s">
        <v>800</v>
      </c>
    </row>
    <row r="160" customFormat="false" ht="15" hidden="false" customHeight="false" outlineLevel="0" collapsed="false">
      <c r="A160" s="8"/>
      <c r="B160" s="8"/>
      <c r="C160" s="5" t="s">
        <v>489</v>
      </c>
      <c r="D160" s="24" t="n">
        <v>162</v>
      </c>
      <c r="E160" s="8" t="s">
        <v>796</v>
      </c>
      <c r="F160" s="5"/>
    </row>
    <row r="161" customFormat="false" ht="15" hidden="false" customHeight="false" outlineLevel="0" collapsed="false">
      <c r="A161" s="8"/>
      <c r="B161" s="8"/>
      <c r="C161" s="5" t="s">
        <v>812</v>
      </c>
      <c r="D161" s="24" t="n">
        <v>132</v>
      </c>
      <c r="E161" s="8" t="s">
        <v>796</v>
      </c>
      <c r="F161" s="5" t="s">
        <v>802</v>
      </c>
    </row>
    <row r="162" customFormat="false" ht="15" hidden="false" customHeight="false" outlineLevel="0" collapsed="false">
      <c r="A162" s="8"/>
      <c r="B162" s="8"/>
      <c r="C162" s="5" t="s">
        <v>836</v>
      </c>
      <c r="D162" s="24" t="n">
        <v>248</v>
      </c>
      <c r="E162" s="8" t="s">
        <v>796</v>
      </c>
      <c r="F162" s="5" t="s">
        <v>800</v>
      </c>
    </row>
    <row r="163" customFormat="false" ht="15" hidden="false" customHeight="false" outlineLevel="0" collapsed="false">
      <c r="A163" s="8"/>
      <c r="B163" s="8"/>
      <c r="C163" s="5" t="s">
        <v>500</v>
      </c>
      <c r="D163" s="24" t="n">
        <v>35</v>
      </c>
      <c r="E163" s="8" t="s">
        <v>796</v>
      </c>
      <c r="F163" s="5"/>
    </row>
    <row r="164" customFormat="false" ht="15" hidden="false" customHeight="false" outlineLevel="0" collapsed="false">
      <c r="A164" s="8"/>
      <c r="B164" s="8"/>
      <c r="C164" s="5" t="s">
        <v>813</v>
      </c>
      <c r="D164" s="24" t="n">
        <v>311</v>
      </c>
      <c r="E164" s="8" t="s">
        <v>796</v>
      </c>
      <c r="F164" s="5" t="s">
        <v>800</v>
      </c>
    </row>
    <row r="165" customFormat="false" ht="15" hidden="false" customHeight="false" outlineLevel="0" collapsed="false">
      <c r="A165" s="8"/>
      <c r="B165" s="8"/>
      <c r="C165" s="5" t="s">
        <v>607</v>
      </c>
      <c r="D165" s="24" t="n">
        <v>195</v>
      </c>
      <c r="E165" s="8" t="s">
        <v>796</v>
      </c>
      <c r="F165" s="5"/>
    </row>
    <row r="166" customFormat="false" ht="15" hidden="false" customHeight="false" outlineLevel="0" collapsed="false">
      <c r="A166" s="8"/>
      <c r="B166" s="8"/>
      <c r="C166" s="5" t="s">
        <v>548</v>
      </c>
      <c r="D166" s="24" t="n">
        <v>150</v>
      </c>
      <c r="E166" s="8" t="s">
        <v>796</v>
      </c>
      <c r="F166" s="5"/>
    </row>
    <row r="167" customFormat="false" ht="15" hidden="false" customHeight="false" outlineLevel="0" collapsed="false">
      <c r="A167" s="8"/>
      <c r="B167" s="8"/>
      <c r="C167" s="5" t="s">
        <v>814</v>
      </c>
      <c r="D167" s="24" t="n">
        <v>122</v>
      </c>
      <c r="E167" s="8" t="s">
        <v>796</v>
      </c>
      <c r="F167" s="5" t="s">
        <v>800</v>
      </c>
    </row>
    <row r="168" customFormat="false" ht="15" hidden="false" customHeight="false" outlineLevel="0" collapsed="false">
      <c r="A168" s="8"/>
      <c r="B168" s="8"/>
      <c r="C168" s="5" t="s">
        <v>689</v>
      </c>
      <c r="D168" s="24" t="n">
        <v>220</v>
      </c>
      <c r="E168" s="8" t="s">
        <v>796</v>
      </c>
      <c r="F168" s="5"/>
    </row>
    <row r="169" customFormat="false" ht="15" hidden="false" customHeight="false" outlineLevel="0" collapsed="false">
      <c r="A169" s="8"/>
      <c r="B169" s="8"/>
      <c r="C169" s="5" t="s">
        <v>526</v>
      </c>
      <c r="D169" s="24" t="n">
        <v>200</v>
      </c>
      <c r="E169" s="8" t="s">
        <v>796</v>
      </c>
      <c r="F169" s="5"/>
    </row>
    <row r="170" customFormat="false" ht="15" hidden="false" customHeight="false" outlineLevel="0" collapsed="false">
      <c r="A170" s="8"/>
      <c r="B170" s="8"/>
      <c r="C170" s="5" t="s">
        <v>815</v>
      </c>
      <c r="D170" s="24" t="n">
        <v>124</v>
      </c>
      <c r="E170" s="8" t="s">
        <v>796</v>
      </c>
      <c r="F170" s="5" t="s">
        <v>802</v>
      </c>
    </row>
    <row r="171" customFormat="false" ht="15" hidden="false" customHeight="false" outlineLevel="0" collapsed="false">
      <c r="A171" s="8"/>
      <c r="B171" s="8"/>
      <c r="C171" s="5" t="s">
        <v>708</v>
      </c>
      <c r="D171" s="24" t="n">
        <v>1.42</v>
      </c>
      <c r="E171" s="8" t="s">
        <v>809</v>
      </c>
      <c r="F171" s="5"/>
    </row>
    <row r="172" customFormat="false" ht="15" hidden="false" customHeight="false" outlineLevel="0" collapsed="false">
      <c r="A172" s="8"/>
      <c r="B172" s="8"/>
      <c r="C172" s="5" t="s">
        <v>638</v>
      </c>
      <c r="D172" s="24" t="n">
        <v>895</v>
      </c>
      <c r="E172" s="8" t="s">
        <v>796</v>
      </c>
      <c r="F172" s="5"/>
    </row>
    <row r="173" customFormat="false" ht="15" hidden="false" customHeight="false" outlineLevel="0" collapsed="false">
      <c r="A173" s="8"/>
      <c r="B173" s="8"/>
      <c r="C173" s="5" t="s">
        <v>817</v>
      </c>
      <c r="D173" s="24" t="n">
        <v>165</v>
      </c>
      <c r="E173" s="8" t="s">
        <v>796</v>
      </c>
      <c r="F173" s="5" t="s">
        <v>802</v>
      </c>
    </row>
    <row r="174" customFormat="false" ht="15" hidden="false" customHeight="false" outlineLevel="0" collapsed="false">
      <c r="A174" s="8"/>
      <c r="B174" s="8"/>
      <c r="C174" s="5" t="s">
        <v>827</v>
      </c>
      <c r="D174" s="24" t="n">
        <v>1.29</v>
      </c>
      <c r="E174" s="8" t="s">
        <v>798</v>
      </c>
      <c r="F174" s="5" t="s">
        <v>802</v>
      </c>
    </row>
    <row r="175" customFormat="false" ht="15" hidden="false" customHeight="false" outlineLevel="0" collapsed="false">
      <c r="A175" s="8"/>
      <c r="B175" s="8"/>
      <c r="C175" s="5" t="s">
        <v>837</v>
      </c>
      <c r="D175" s="24" t="n">
        <v>168</v>
      </c>
      <c r="E175" s="8" t="s">
        <v>796</v>
      </c>
      <c r="F175" s="5" t="s">
        <v>800</v>
      </c>
    </row>
    <row r="176" customFormat="false" ht="15" hidden="false" customHeight="false" outlineLevel="0" collapsed="false">
      <c r="A176" s="8"/>
      <c r="B176" s="8"/>
      <c r="C176" s="5" t="s">
        <v>537</v>
      </c>
      <c r="D176" s="24" t="n">
        <v>340</v>
      </c>
      <c r="E176" s="8" t="s">
        <v>796</v>
      </c>
      <c r="F176" s="5"/>
    </row>
    <row r="177" customFormat="false" ht="15" hidden="false" customHeight="false" outlineLevel="0" collapsed="false">
      <c r="A177" s="8"/>
      <c r="B177" s="8"/>
      <c r="C177" s="5" t="s">
        <v>508</v>
      </c>
      <c r="D177" s="24" t="n">
        <v>120</v>
      </c>
      <c r="E177" s="8" t="s">
        <v>796</v>
      </c>
      <c r="F177" s="5"/>
    </row>
    <row r="178" customFormat="false" ht="15" hidden="false" customHeight="false" outlineLevel="0" collapsed="false">
      <c r="A178" s="8"/>
      <c r="B178" s="8"/>
      <c r="C178" s="5" t="s">
        <v>552</v>
      </c>
      <c r="D178" s="24" t="n">
        <v>240</v>
      </c>
      <c r="E178" s="8" t="s">
        <v>796</v>
      </c>
      <c r="F178" s="5"/>
    </row>
    <row r="179" customFormat="false" ht="15" hidden="false" customHeight="false" outlineLevel="0" collapsed="false">
      <c r="A179" s="8"/>
      <c r="B179" s="8"/>
      <c r="C179" s="5" t="s">
        <v>528</v>
      </c>
      <c r="D179" s="24" t="n">
        <v>150</v>
      </c>
      <c r="E179" s="8" t="s">
        <v>796</v>
      </c>
      <c r="F179" s="5"/>
    </row>
    <row r="180" customFormat="false" ht="15" hidden="false" customHeight="false" outlineLevel="0" collapsed="false">
      <c r="A180" s="8"/>
      <c r="B180" s="8"/>
      <c r="C180" s="5" t="s">
        <v>545</v>
      </c>
      <c r="D180" s="24" t="n">
        <v>90</v>
      </c>
      <c r="E180" s="8" t="s">
        <v>796</v>
      </c>
      <c r="F180" s="5"/>
    </row>
    <row r="181" customFormat="false" ht="15" hidden="false" customHeight="false" outlineLevel="0" collapsed="false">
      <c r="A181" s="8"/>
      <c r="B181" s="8"/>
      <c r="C181" s="5" t="s">
        <v>818</v>
      </c>
      <c r="D181" s="24" t="n">
        <v>39</v>
      </c>
      <c r="E181" s="8" t="s">
        <v>796</v>
      </c>
      <c r="F181" s="5" t="s">
        <v>802</v>
      </c>
    </row>
    <row r="182" customFormat="false" ht="15" hidden="false" customHeight="false" outlineLevel="0" collapsed="false">
      <c r="A182" s="8"/>
      <c r="B182" s="8"/>
      <c r="C182" s="5" t="s">
        <v>838</v>
      </c>
      <c r="D182" s="24" t="n">
        <v>162</v>
      </c>
      <c r="E182" s="8" t="s">
        <v>796</v>
      </c>
      <c r="F182" s="5" t="s">
        <v>802</v>
      </c>
    </row>
    <row r="183" customFormat="false" ht="15" hidden="false" customHeight="false" outlineLevel="0" collapsed="false">
      <c r="A183" s="8"/>
      <c r="B183" s="8"/>
      <c r="C183" s="5" t="s">
        <v>839</v>
      </c>
      <c r="D183" s="24" t="n">
        <v>130</v>
      </c>
      <c r="E183" s="8" t="s">
        <v>796</v>
      </c>
      <c r="F183" s="5"/>
    </row>
    <row r="184" customFormat="false" ht="15" hidden="false" customHeight="false" outlineLevel="0" collapsed="false">
      <c r="A184" s="8"/>
      <c r="B184" s="8"/>
      <c r="C184" s="5" t="s">
        <v>651</v>
      </c>
      <c r="D184" s="24" t="n">
        <v>30</v>
      </c>
      <c r="E184" s="8" t="s">
        <v>796</v>
      </c>
      <c r="F184" s="5"/>
    </row>
    <row r="185" customFormat="false" ht="15" hidden="false" customHeight="false" outlineLevel="0" collapsed="false">
      <c r="A185" s="8"/>
      <c r="B185" s="8"/>
      <c r="C185" s="5" t="s">
        <v>695</v>
      </c>
      <c r="D185" s="24" t="n">
        <v>30</v>
      </c>
      <c r="E185" s="8" t="s">
        <v>796</v>
      </c>
      <c r="F185" s="5" t="s">
        <v>797</v>
      </c>
    </row>
    <row r="186" customFormat="false" ht="15" hidden="false" customHeight="false" outlineLevel="0" collapsed="false">
      <c r="A186" s="8"/>
      <c r="B186" s="8"/>
      <c r="C186" s="5" t="s">
        <v>819</v>
      </c>
      <c r="D186" s="24" t="n">
        <v>887</v>
      </c>
      <c r="E186" s="8" t="s">
        <v>796</v>
      </c>
      <c r="F186" s="5" t="s">
        <v>800</v>
      </c>
    </row>
    <row r="187" customFormat="false" ht="15" hidden="false" customHeight="false" outlineLevel="0" collapsed="false">
      <c r="A187" s="8"/>
      <c r="B187" s="8"/>
      <c r="C187" s="5" t="s">
        <v>820</v>
      </c>
      <c r="D187" s="24" t="n">
        <v>946</v>
      </c>
      <c r="E187" s="8" t="s">
        <v>796</v>
      </c>
      <c r="F187" s="5" t="s">
        <v>802</v>
      </c>
    </row>
    <row r="188" customFormat="false" ht="15" hidden="false" customHeight="false" outlineLevel="0" collapsed="false">
      <c r="A188" s="8"/>
      <c r="B188" s="8"/>
      <c r="C188" s="5" t="s">
        <v>549</v>
      </c>
      <c r="D188" s="24" t="n">
        <v>45</v>
      </c>
      <c r="E188" s="8" t="s">
        <v>796</v>
      </c>
      <c r="F188" s="5"/>
    </row>
    <row r="189" customFormat="false" ht="15" hidden="false" customHeight="false" outlineLevel="0" collapsed="false">
      <c r="A189" s="8"/>
      <c r="B189" s="8"/>
      <c r="C189" s="5" t="s">
        <v>840</v>
      </c>
      <c r="D189" s="24" t="n">
        <v>262</v>
      </c>
      <c r="E189" s="8" t="s">
        <v>796</v>
      </c>
      <c r="F189" s="5" t="s">
        <v>802</v>
      </c>
    </row>
    <row r="190" customFormat="false" ht="15" hidden="false" customHeight="false" outlineLevel="0" collapsed="false">
      <c r="A190" s="8"/>
      <c r="B190" s="8"/>
      <c r="C190" s="5" t="s">
        <v>828</v>
      </c>
      <c r="D190" s="24" t="n">
        <v>528</v>
      </c>
      <c r="E190" s="8" t="s">
        <v>796</v>
      </c>
      <c r="F190" s="5" t="s">
        <v>802</v>
      </c>
    </row>
    <row r="191" customFormat="false" ht="15" hidden="false" customHeight="false" outlineLevel="0" collapsed="false">
      <c r="A191" s="3"/>
      <c r="B191" s="3"/>
      <c r="C191" s="15" t="s">
        <v>841</v>
      </c>
      <c r="D191" s="3"/>
      <c r="E191" s="3"/>
      <c r="F191" s="3"/>
    </row>
    <row r="193" customFormat="false" ht="15" hidden="false" customHeight="false" outlineLevel="0" collapsed="false">
      <c r="A193" s="8" t="n">
        <v>4</v>
      </c>
      <c r="B193" s="8" t="s">
        <v>842</v>
      </c>
      <c r="C193" s="5" t="s">
        <v>794</v>
      </c>
      <c r="D193" s="8" t="n">
        <v>5</v>
      </c>
      <c r="E193" s="8" t="s">
        <v>795</v>
      </c>
      <c r="F193" s="5"/>
    </row>
    <row r="194" customFormat="false" ht="15" hidden="false" customHeight="false" outlineLevel="0" collapsed="false">
      <c r="A194" s="8"/>
      <c r="B194" s="8"/>
      <c r="C194" s="5" t="s">
        <v>678</v>
      </c>
      <c r="D194" s="24" t="n">
        <v>300</v>
      </c>
      <c r="E194" s="8" t="s">
        <v>796</v>
      </c>
      <c r="F194" s="5" t="s">
        <v>797</v>
      </c>
    </row>
    <row r="195" customFormat="false" ht="15" hidden="false" customHeight="false" outlineLevel="0" collapsed="false">
      <c r="A195" s="8"/>
      <c r="B195" s="8"/>
      <c r="C195" s="5" t="s">
        <v>681</v>
      </c>
      <c r="D195" s="24" t="n">
        <v>200</v>
      </c>
      <c r="E195" s="8" t="s">
        <v>796</v>
      </c>
      <c r="F195" s="5" t="s">
        <v>797</v>
      </c>
    </row>
    <row r="196" customFormat="false" ht="15" hidden="false" customHeight="false" outlineLevel="0" collapsed="false">
      <c r="A196" s="8"/>
      <c r="B196" s="8"/>
      <c r="C196" s="5" t="s">
        <v>684</v>
      </c>
      <c r="D196" s="24" t="n">
        <v>370</v>
      </c>
      <c r="E196" s="8" t="s">
        <v>796</v>
      </c>
      <c r="F196" s="5" t="s">
        <v>797</v>
      </c>
    </row>
    <row r="197" customFormat="false" ht="15" hidden="false" customHeight="false" outlineLevel="0" collapsed="false">
      <c r="A197" s="8"/>
      <c r="B197" s="8"/>
      <c r="C197" s="5" t="s">
        <v>517</v>
      </c>
      <c r="D197" s="24" t="n">
        <v>500</v>
      </c>
      <c r="E197" s="8" t="s">
        <v>796</v>
      </c>
      <c r="F197" s="5"/>
    </row>
    <row r="198" customFormat="false" ht="15" hidden="false" customHeight="false" outlineLevel="0" collapsed="false">
      <c r="A198" s="8"/>
      <c r="B198" s="8"/>
      <c r="C198" s="5" t="s">
        <v>685</v>
      </c>
      <c r="D198" s="24" t="n">
        <v>240</v>
      </c>
      <c r="E198" s="8" t="s">
        <v>796</v>
      </c>
      <c r="F198" s="5"/>
    </row>
    <row r="199" customFormat="false" ht="15" hidden="false" customHeight="false" outlineLevel="0" collapsed="false">
      <c r="A199" s="8"/>
      <c r="B199" s="8"/>
      <c r="C199" s="5" t="s">
        <v>669</v>
      </c>
      <c r="D199" s="24" t="n">
        <v>65</v>
      </c>
      <c r="E199" s="8" t="s">
        <v>796</v>
      </c>
      <c r="F199" s="5"/>
    </row>
    <row r="200" customFormat="false" ht="15" hidden="false" customHeight="false" outlineLevel="0" collapsed="false">
      <c r="A200" s="8"/>
      <c r="B200" s="8"/>
      <c r="C200" s="5" t="s">
        <v>668</v>
      </c>
      <c r="D200" s="24" t="n">
        <v>150</v>
      </c>
      <c r="E200" s="8" t="s">
        <v>796</v>
      </c>
      <c r="F200" s="5"/>
    </row>
    <row r="201" customFormat="false" ht="15" hidden="false" customHeight="false" outlineLevel="0" collapsed="false">
      <c r="A201" s="8"/>
      <c r="B201" s="8"/>
      <c r="C201" s="5" t="s">
        <v>843</v>
      </c>
      <c r="D201" s="24" t="n">
        <v>230</v>
      </c>
      <c r="E201" s="8" t="s">
        <v>796</v>
      </c>
      <c r="F201" s="5" t="s">
        <v>802</v>
      </c>
    </row>
    <row r="202" customFormat="false" ht="15" hidden="false" customHeight="false" outlineLevel="0" collapsed="false">
      <c r="A202" s="8"/>
      <c r="B202" s="8"/>
      <c r="C202" s="5" t="s">
        <v>561</v>
      </c>
      <c r="D202" s="24" t="n">
        <v>80</v>
      </c>
      <c r="E202" s="8" t="s">
        <v>796</v>
      </c>
      <c r="F202" s="5"/>
    </row>
    <row r="203" customFormat="false" ht="15" hidden="false" customHeight="false" outlineLevel="0" collapsed="false">
      <c r="A203" s="8"/>
      <c r="B203" s="8"/>
      <c r="C203" s="5" t="s">
        <v>641</v>
      </c>
      <c r="D203" s="24" t="n">
        <v>2.33</v>
      </c>
      <c r="E203" s="8" t="s">
        <v>798</v>
      </c>
      <c r="F203" s="5"/>
    </row>
    <row r="204" customFormat="false" ht="15" hidden="false" customHeight="false" outlineLevel="0" collapsed="false">
      <c r="A204" s="8"/>
      <c r="B204" s="8"/>
      <c r="C204" s="5" t="s">
        <v>640</v>
      </c>
      <c r="D204" s="24" t="n">
        <v>300</v>
      </c>
      <c r="E204" s="8" t="s">
        <v>796</v>
      </c>
      <c r="F204" s="5"/>
    </row>
    <row r="205" customFormat="false" ht="15" hidden="false" customHeight="false" outlineLevel="0" collapsed="false">
      <c r="A205" s="8"/>
      <c r="B205" s="8"/>
      <c r="C205" s="5" t="s">
        <v>844</v>
      </c>
      <c r="D205" s="24" t="n">
        <v>132</v>
      </c>
      <c r="E205" s="8" t="s">
        <v>796</v>
      </c>
      <c r="F205" s="5" t="s">
        <v>802</v>
      </c>
    </row>
    <row r="206" customFormat="false" ht="15" hidden="false" customHeight="false" outlineLevel="0" collapsed="false">
      <c r="A206" s="8"/>
      <c r="B206" s="8"/>
      <c r="C206" s="5" t="s">
        <v>514</v>
      </c>
      <c r="D206" s="24" t="n">
        <v>30</v>
      </c>
      <c r="E206" s="8" t="s">
        <v>796</v>
      </c>
      <c r="F206" s="5"/>
    </row>
    <row r="207" customFormat="false" ht="15" hidden="false" customHeight="false" outlineLevel="0" collapsed="false">
      <c r="A207" s="8"/>
      <c r="B207" s="8"/>
      <c r="C207" s="5" t="s">
        <v>510</v>
      </c>
      <c r="D207" s="24" t="n">
        <v>20</v>
      </c>
      <c r="E207" s="8" t="s">
        <v>796</v>
      </c>
      <c r="F207" s="5"/>
    </row>
    <row r="208" customFormat="false" ht="15" hidden="false" customHeight="false" outlineLevel="0" collapsed="false">
      <c r="A208" s="8"/>
      <c r="B208" s="8"/>
      <c r="C208" s="5" t="s">
        <v>713</v>
      </c>
      <c r="D208" s="24" t="n">
        <v>40</v>
      </c>
      <c r="E208" s="8" t="s">
        <v>796</v>
      </c>
      <c r="F208" s="5"/>
    </row>
    <row r="209" customFormat="false" ht="15" hidden="false" customHeight="false" outlineLevel="0" collapsed="false">
      <c r="A209" s="8"/>
      <c r="B209" s="8"/>
      <c r="C209" s="5" t="s">
        <v>845</v>
      </c>
      <c r="D209" s="24" t="n">
        <v>100</v>
      </c>
      <c r="E209" s="8" t="s">
        <v>796</v>
      </c>
      <c r="F209" s="5"/>
    </row>
    <row r="210" customFormat="false" ht="15" hidden="false" customHeight="false" outlineLevel="0" collapsed="false">
      <c r="A210" s="8"/>
      <c r="B210" s="8"/>
      <c r="C210" s="5" t="s">
        <v>833</v>
      </c>
      <c r="D210" s="24" t="n">
        <v>130</v>
      </c>
      <c r="E210" s="8" t="s">
        <v>796</v>
      </c>
      <c r="F210" s="5"/>
    </row>
    <row r="211" customFormat="false" ht="15" hidden="false" customHeight="false" outlineLevel="0" collapsed="false">
      <c r="A211" s="8"/>
      <c r="B211" s="8"/>
      <c r="C211" s="5" t="s">
        <v>846</v>
      </c>
      <c r="D211" s="24" t="n">
        <v>148</v>
      </c>
      <c r="E211" s="8" t="s">
        <v>796</v>
      </c>
      <c r="F211" s="5" t="s">
        <v>802</v>
      </c>
    </row>
    <row r="212" customFormat="false" ht="15" hidden="false" customHeight="false" outlineLevel="0" collapsed="false">
      <c r="A212" s="8"/>
      <c r="B212" s="8"/>
      <c r="C212" s="5" t="s">
        <v>806</v>
      </c>
      <c r="D212" s="8" t="n">
        <v>7</v>
      </c>
      <c r="E212" s="8" t="s">
        <v>807</v>
      </c>
      <c r="F212" s="5" t="s">
        <v>808</v>
      </c>
    </row>
    <row r="213" customFormat="false" ht="15" hidden="false" customHeight="false" outlineLevel="0" collapsed="false">
      <c r="A213" s="8"/>
      <c r="B213" s="8"/>
      <c r="C213" s="5" t="s">
        <v>580</v>
      </c>
      <c r="D213" s="24" t="n">
        <v>70</v>
      </c>
      <c r="E213" s="8" t="s">
        <v>796</v>
      </c>
      <c r="F213" s="5"/>
    </row>
    <row r="214" customFormat="false" ht="15" hidden="false" customHeight="false" outlineLevel="0" collapsed="false">
      <c r="A214" s="8"/>
      <c r="B214" s="8"/>
      <c r="C214" s="5" t="s">
        <v>574</v>
      </c>
      <c r="D214" s="24" t="n">
        <v>210</v>
      </c>
      <c r="E214" s="8" t="s">
        <v>796</v>
      </c>
      <c r="F214" s="5"/>
    </row>
    <row r="215" customFormat="false" ht="15" hidden="false" customHeight="false" outlineLevel="0" collapsed="false">
      <c r="A215" s="8"/>
      <c r="B215" s="8"/>
      <c r="C215" s="5" t="s">
        <v>834</v>
      </c>
      <c r="D215" s="24" t="n">
        <v>144</v>
      </c>
      <c r="E215" s="8" t="s">
        <v>796</v>
      </c>
      <c r="F215" s="5" t="s">
        <v>802</v>
      </c>
    </row>
    <row r="216" customFormat="false" ht="15" hidden="false" customHeight="false" outlineLevel="0" collapsed="false">
      <c r="A216" s="8"/>
      <c r="B216" s="8"/>
      <c r="C216" s="5" t="s">
        <v>497</v>
      </c>
      <c r="D216" s="24" t="n">
        <v>280</v>
      </c>
      <c r="E216" s="8" t="s">
        <v>796</v>
      </c>
      <c r="F216" s="5" t="s">
        <v>802</v>
      </c>
    </row>
    <row r="217" customFormat="false" ht="15" hidden="false" customHeight="false" outlineLevel="0" collapsed="false">
      <c r="A217" s="8"/>
      <c r="B217" s="8"/>
      <c r="C217" s="5" t="s">
        <v>540</v>
      </c>
      <c r="D217" s="24" t="n">
        <v>90</v>
      </c>
      <c r="E217" s="8" t="s">
        <v>796</v>
      </c>
      <c r="F217" s="5"/>
    </row>
    <row r="218" customFormat="false" ht="15" hidden="false" customHeight="false" outlineLevel="0" collapsed="false">
      <c r="A218" s="8"/>
      <c r="B218" s="8"/>
      <c r="C218" s="5" t="s">
        <v>592</v>
      </c>
      <c r="D218" s="24" t="n">
        <v>70</v>
      </c>
      <c r="E218" s="8" t="s">
        <v>796</v>
      </c>
      <c r="F218" s="5"/>
    </row>
    <row r="219" customFormat="false" ht="15" hidden="false" customHeight="false" outlineLevel="0" collapsed="false">
      <c r="A219" s="8"/>
      <c r="B219" s="8"/>
      <c r="C219" s="5" t="s">
        <v>541</v>
      </c>
      <c r="D219" s="24" t="n">
        <v>2.73</v>
      </c>
      <c r="E219" s="8" t="s">
        <v>809</v>
      </c>
      <c r="F219" s="5"/>
    </row>
    <row r="220" customFormat="false" ht="15" hidden="false" customHeight="false" outlineLevel="0" collapsed="false">
      <c r="A220" s="8"/>
      <c r="B220" s="8"/>
      <c r="C220" s="5" t="s">
        <v>488</v>
      </c>
      <c r="D220" s="24" t="n">
        <v>345</v>
      </c>
      <c r="E220" s="8" t="s">
        <v>796</v>
      </c>
      <c r="F220" s="5"/>
    </row>
    <row r="221" customFormat="false" ht="15" hidden="false" customHeight="false" outlineLevel="0" collapsed="false">
      <c r="A221" s="8"/>
      <c r="B221" s="8"/>
      <c r="C221" s="5" t="s">
        <v>811</v>
      </c>
      <c r="D221" s="24" t="n">
        <v>226</v>
      </c>
      <c r="E221" s="8" t="s">
        <v>796</v>
      </c>
      <c r="F221" s="5" t="s">
        <v>802</v>
      </c>
    </row>
    <row r="222" customFormat="false" ht="15" hidden="false" customHeight="false" outlineLevel="0" collapsed="false">
      <c r="A222" s="8"/>
      <c r="B222" s="8"/>
      <c r="C222" s="5" t="s">
        <v>509</v>
      </c>
      <c r="D222" s="24" t="n">
        <v>45</v>
      </c>
      <c r="E222" s="8" t="s">
        <v>796</v>
      </c>
      <c r="F222" s="5"/>
    </row>
    <row r="223" customFormat="false" ht="15" hidden="false" customHeight="false" outlineLevel="0" collapsed="false">
      <c r="A223" s="8"/>
      <c r="B223" s="8"/>
      <c r="C223" s="5" t="s">
        <v>542</v>
      </c>
      <c r="D223" s="24" t="n">
        <v>190</v>
      </c>
      <c r="E223" s="8" t="s">
        <v>796</v>
      </c>
      <c r="F223" s="5"/>
    </row>
    <row r="224" customFormat="false" ht="15" hidden="false" customHeight="false" outlineLevel="0" collapsed="false">
      <c r="A224" s="8"/>
      <c r="B224" s="8"/>
      <c r="C224" s="5" t="s">
        <v>847</v>
      </c>
      <c r="D224" s="24" t="n">
        <v>112</v>
      </c>
      <c r="E224" s="8" t="s">
        <v>796</v>
      </c>
      <c r="F224" s="5" t="s">
        <v>802</v>
      </c>
    </row>
    <row r="225" customFormat="false" ht="15" hidden="false" customHeight="false" outlineLevel="0" collapsed="false">
      <c r="A225" s="8"/>
      <c r="B225" s="8"/>
      <c r="C225" s="5" t="s">
        <v>634</v>
      </c>
      <c r="D225" s="24" t="n">
        <v>1.44</v>
      </c>
      <c r="E225" s="8" t="s">
        <v>798</v>
      </c>
      <c r="F225" s="5"/>
    </row>
    <row r="226" customFormat="false" ht="15" hidden="false" customHeight="false" outlineLevel="0" collapsed="false">
      <c r="A226" s="8"/>
      <c r="B226" s="8"/>
      <c r="C226" s="5" t="s">
        <v>639</v>
      </c>
      <c r="D226" s="24" t="n">
        <v>170</v>
      </c>
      <c r="E226" s="8" t="s">
        <v>796</v>
      </c>
      <c r="F226" s="5"/>
    </row>
    <row r="227" customFormat="false" ht="15" hidden="false" customHeight="false" outlineLevel="0" collapsed="false">
      <c r="A227" s="8"/>
      <c r="B227" s="8"/>
      <c r="C227" s="5" t="s">
        <v>489</v>
      </c>
      <c r="D227" s="24" t="n">
        <v>89</v>
      </c>
      <c r="E227" s="8" t="s">
        <v>796</v>
      </c>
      <c r="F227" s="5"/>
    </row>
    <row r="228" customFormat="false" ht="15" hidden="false" customHeight="false" outlineLevel="0" collapsed="false">
      <c r="A228" s="8"/>
      <c r="B228" s="8"/>
      <c r="C228" s="5" t="s">
        <v>812</v>
      </c>
      <c r="D228" s="24" t="n">
        <v>297</v>
      </c>
      <c r="E228" s="8" t="s">
        <v>796</v>
      </c>
      <c r="F228" s="5" t="s">
        <v>802</v>
      </c>
    </row>
    <row r="229" customFormat="false" ht="15" hidden="false" customHeight="false" outlineLevel="0" collapsed="false">
      <c r="A229" s="8"/>
      <c r="B229" s="8"/>
      <c r="C229" s="5" t="s">
        <v>500</v>
      </c>
      <c r="D229" s="24" t="n">
        <v>20</v>
      </c>
      <c r="E229" s="8" t="s">
        <v>796</v>
      </c>
      <c r="F229" s="5"/>
    </row>
    <row r="230" customFormat="false" ht="15" hidden="false" customHeight="false" outlineLevel="0" collapsed="false">
      <c r="A230" s="8"/>
      <c r="B230" s="8"/>
      <c r="C230" s="5" t="s">
        <v>498</v>
      </c>
      <c r="D230" s="24" t="n">
        <v>400</v>
      </c>
      <c r="E230" s="8" t="s">
        <v>796</v>
      </c>
      <c r="F230" s="5"/>
    </row>
    <row r="231" customFormat="false" ht="15" hidden="false" customHeight="false" outlineLevel="0" collapsed="false">
      <c r="A231" s="8"/>
      <c r="B231" s="8"/>
      <c r="C231" s="5" t="s">
        <v>813</v>
      </c>
      <c r="D231" s="24" t="n">
        <v>139</v>
      </c>
      <c r="E231" s="8" t="s">
        <v>796</v>
      </c>
      <c r="F231" s="5" t="s">
        <v>800</v>
      </c>
    </row>
    <row r="232" customFormat="false" ht="15" hidden="false" customHeight="false" outlineLevel="0" collapsed="false">
      <c r="A232" s="8"/>
      <c r="B232" s="8"/>
      <c r="C232" s="5" t="s">
        <v>607</v>
      </c>
      <c r="D232" s="24" t="n">
        <v>170</v>
      </c>
      <c r="E232" s="8" t="s">
        <v>796</v>
      </c>
      <c r="F232" s="5"/>
    </row>
    <row r="233" customFormat="false" ht="15" hidden="false" customHeight="false" outlineLevel="0" collapsed="false">
      <c r="A233" s="8"/>
      <c r="B233" s="8"/>
      <c r="C233" s="5" t="s">
        <v>626</v>
      </c>
      <c r="D233" s="24" t="n">
        <v>35</v>
      </c>
      <c r="E233" s="8" t="s">
        <v>796</v>
      </c>
      <c r="F233" s="5"/>
    </row>
    <row r="234" customFormat="false" ht="15" hidden="false" customHeight="false" outlineLevel="0" collapsed="false">
      <c r="A234" s="8"/>
      <c r="B234" s="8"/>
      <c r="C234" s="5" t="s">
        <v>814</v>
      </c>
      <c r="D234" s="24" t="n">
        <v>262</v>
      </c>
      <c r="E234" s="8" t="s">
        <v>796</v>
      </c>
      <c r="F234" s="5" t="s">
        <v>800</v>
      </c>
    </row>
    <row r="235" customFormat="false" ht="15" hidden="false" customHeight="false" outlineLevel="0" collapsed="false">
      <c r="A235" s="8"/>
      <c r="B235" s="8"/>
      <c r="C235" s="5" t="s">
        <v>689</v>
      </c>
      <c r="D235" s="24" t="n">
        <v>220</v>
      </c>
      <c r="E235" s="8" t="s">
        <v>796</v>
      </c>
      <c r="F235" s="5"/>
    </row>
    <row r="236" customFormat="false" ht="15" hidden="false" customHeight="false" outlineLevel="0" collapsed="false">
      <c r="A236" s="8"/>
      <c r="B236" s="8"/>
      <c r="C236" s="5" t="s">
        <v>526</v>
      </c>
      <c r="D236" s="24" t="n">
        <v>330</v>
      </c>
      <c r="E236" s="8" t="s">
        <v>796</v>
      </c>
      <c r="F236" s="5"/>
    </row>
    <row r="237" customFormat="false" ht="15" hidden="false" customHeight="false" outlineLevel="0" collapsed="false">
      <c r="A237" s="8"/>
      <c r="B237" s="8"/>
      <c r="C237" s="5" t="s">
        <v>505</v>
      </c>
      <c r="D237" s="24" t="n">
        <v>26</v>
      </c>
      <c r="E237" s="8" t="s">
        <v>796</v>
      </c>
      <c r="F237" s="5"/>
    </row>
    <row r="238" customFormat="false" ht="15" hidden="false" customHeight="false" outlineLevel="0" collapsed="false">
      <c r="A238" s="8"/>
      <c r="B238" s="8"/>
      <c r="C238" s="5" t="s">
        <v>586</v>
      </c>
      <c r="D238" s="24" t="n">
        <v>190</v>
      </c>
      <c r="E238" s="8" t="s">
        <v>796</v>
      </c>
      <c r="F238" s="5"/>
    </row>
    <row r="239" customFormat="false" ht="15" hidden="false" customHeight="false" outlineLevel="0" collapsed="false">
      <c r="A239" s="8"/>
      <c r="B239" s="8"/>
      <c r="C239" s="5" t="s">
        <v>815</v>
      </c>
      <c r="D239" s="24" t="n">
        <v>124</v>
      </c>
      <c r="E239" s="8" t="s">
        <v>796</v>
      </c>
      <c r="F239" s="5" t="s">
        <v>802</v>
      </c>
    </row>
    <row r="240" customFormat="false" ht="15" hidden="false" customHeight="false" outlineLevel="0" collapsed="false">
      <c r="A240" s="8"/>
      <c r="B240" s="8"/>
      <c r="C240" s="5" t="s">
        <v>587</v>
      </c>
      <c r="D240" s="24" t="n">
        <v>120</v>
      </c>
      <c r="E240" s="8" t="s">
        <v>796</v>
      </c>
      <c r="F240" s="5"/>
    </row>
    <row r="241" customFormat="false" ht="15" hidden="false" customHeight="false" outlineLevel="0" collapsed="false">
      <c r="A241" s="8"/>
      <c r="B241" s="8"/>
      <c r="C241" s="5" t="s">
        <v>708</v>
      </c>
      <c r="D241" s="24" t="n">
        <v>1.44</v>
      </c>
      <c r="E241" s="8" t="s">
        <v>809</v>
      </c>
      <c r="F241" s="5"/>
    </row>
    <row r="242" customFormat="false" ht="15" hidden="false" customHeight="false" outlineLevel="0" collapsed="false">
      <c r="A242" s="8"/>
      <c r="B242" s="8"/>
      <c r="C242" s="5" t="s">
        <v>638</v>
      </c>
      <c r="D242" s="24" t="n">
        <v>430</v>
      </c>
      <c r="E242" s="8" t="s">
        <v>796</v>
      </c>
      <c r="F242" s="5"/>
    </row>
    <row r="243" customFormat="false" ht="15" hidden="false" customHeight="false" outlineLevel="0" collapsed="false">
      <c r="A243" s="8"/>
      <c r="B243" s="8"/>
      <c r="C243" s="5" t="s">
        <v>536</v>
      </c>
      <c r="D243" s="24" t="n">
        <v>40</v>
      </c>
      <c r="E243" s="8" t="s">
        <v>796</v>
      </c>
      <c r="F243" s="5"/>
    </row>
    <row r="244" customFormat="false" ht="15" hidden="false" customHeight="false" outlineLevel="0" collapsed="false">
      <c r="A244" s="8"/>
      <c r="B244" s="8"/>
      <c r="C244" s="5" t="s">
        <v>827</v>
      </c>
      <c r="D244" s="24" t="n">
        <v>805</v>
      </c>
      <c r="E244" s="8" t="s">
        <v>796</v>
      </c>
      <c r="F244" s="5" t="s">
        <v>802</v>
      </c>
    </row>
    <row r="245" customFormat="false" ht="15" hidden="false" customHeight="false" outlineLevel="0" collapsed="false">
      <c r="A245" s="8"/>
      <c r="B245" s="8"/>
      <c r="C245" s="5" t="s">
        <v>537</v>
      </c>
      <c r="D245" s="24" t="n">
        <v>150</v>
      </c>
      <c r="E245" s="8" t="s">
        <v>796</v>
      </c>
      <c r="F245" s="5"/>
    </row>
    <row r="246" customFormat="false" ht="15" hidden="false" customHeight="false" outlineLevel="0" collapsed="false">
      <c r="A246" s="8"/>
      <c r="B246" s="8"/>
      <c r="C246" s="5" t="s">
        <v>508</v>
      </c>
      <c r="D246" s="24" t="n">
        <v>500</v>
      </c>
      <c r="E246" s="8" t="s">
        <v>796</v>
      </c>
      <c r="F246" s="5"/>
    </row>
    <row r="247" customFormat="false" ht="15" hidden="false" customHeight="false" outlineLevel="0" collapsed="false">
      <c r="A247" s="8"/>
      <c r="B247" s="8"/>
      <c r="C247" s="5" t="s">
        <v>818</v>
      </c>
      <c r="D247" s="24" t="n">
        <v>78</v>
      </c>
      <c r="E247" s="8" t="s">
        <v>796</v>
      </c>
      <c r="F247" s="5" t="s">
        <v>802</v>
      </c>
    </row>
    <row r="248" customFormat="false" ht="15" hidden="false" customHeight="false" outlineLevel="0" collapsed="false">
      <c r="A248" s="8"/>
      <c r="B248" s="8"/>
      <c r="C248" s="5" t="s">
        <v>573</v>
      </c>
      <c r="D248" s="24" t="n">
        <v>1.68</v>
      </c>
      <c r="E248" s="8" t="s">
        <v>798</v>
      </c>
      <c r="F248" s="5"/>
    </row>
    <row r="249" customFormat="false" ht="15" hidden="false" customHeight="false" outlineLevel="0" collapsed="false">
      <c r="A249" s="8"/>
      <c r="B249" s="8"/>
      <c r="C249" s="5" t="s">
        <v>651</v>
      </c>
      <c r="D249" s="24" t="n">
        <v>15</v>
      </c>
      <c r="E249" s="8" t="s">
        <v>796</v>
      </c>
      <c r="F249" s="5"/>
    </row>
    <row r="250" customFormat="false" ht="15" hidden="false" customHeight="false" outlineLevel="0" collapsed="false">
      <c r="A250" s="8"/>
      <c r="B250" s="8"/>
      <c r="C250" s="5" t="s">
        <v>695</v>
      </c>
      <c r="D250" s="24" t="n">
        <v>60</v>
      </c>
      <c r="E250" s="8" t="s">
        <v>796</v>
      </c>
      <c r="F250" s="5" t="s">
        <v>797</v>
      </c>
    </row>
    <row r="251" customFormat="false" ht="15" hidden="false" customHeight="false" outlineLevel="0" collapsed="false">
      <c r="A251" s="8"/>
      <c r="B251" s="8"/>
      <c r="C251" s="5" t="s">
        <v>819</v>
      </c>
      <c r="D251" s="24" t="n">
        <v>340</v>
      </c>
      <c r="E251" s="8" t="s">
        <v>796</v>
      </c>
      <c r="F251" s="5" t="s">
        <v>800</v>
      </c>
    </row>
    <row r="252" customFormat="false" ht="15" hidden="false" customHeight="false" outlineLevel="0" collapsed="false">
      <c r="A252" s="8"/>
      <c r="B252" s="8"/>
      <c r="C252" s="5" t="s">
        <v>820</v>
      </c>
      <c r="D252" s="24" t="n">
        <v>682</v>
      </c>
      <c r="E252" s="8" t="s">
        <v>796</v>
      </c>
      <c r="F252" s="5" t="s">
        <v>802</v>
      </c>
    </row>
    <row r="253" customFormat="false" ht="15" hidden="false" customHeight="false" outlineLevel="0" collapsed="false">
      <c r="A253" s="8"/>
      <c r="B253" s="8"/>
      <c r="C253" s="5" t="s">
        <v>840</v>
      </c>
      <c r="D253" s="24" t="n">
        <v>162</v>
      </c>
      <c r="E253" s="8" t="s">
        <v>796</v>
      </c>
      <c r="F253" s="5" t="s">
        <v>802</v>
      </c>
    </row>
    <row r="254" customFormat="false" ht="15" hidden="false" customHeight="false" outlineLevel="0" collapsed="false">
      <c r="A254" s="3"/>
      <c r="B254" s="3"/>
      <c r="C254" s="15" t="s">
        <v>848</v>
      </c>
      <c r="D254" s="3"/>
      <c r="E254" s="3"/>
      <c r="F254" s="3"/>
    </row>
    <row r="256" customFormat="false" ht="15" hidden="false" customHeight="false" outlineLevel="0" collapsed="false">
      <c r="A256" s="8" t="n">
        <v>5</v>
      </c>
      <c r="B256" s="8" t="s">
        <v>849</v>
      </c>
      <c r="C256" s="5" t="s">
        <v>794</v>
      </c>
      <c r="D256" s="8" t="n">
        <v>5</v>
      </c>
      <c r="E256" s="8" t="s">
        <v>795</v>
      </c>
      <c r="F256" s="5"/>
    </row>
    <row r="257" customFormat="false" ht="15" hidden="false" customHeight="false" outlineLevel="0" collapsed="false">
      <c r="A257" s="8"/>
      <c r="B257" s="8"/>
      <c r="C257" s="5" t="s">
        <v>678</v>
      </c>
      <c r="D257" s="24" t="n">
        <v>200</v>
      </c>
      <c r="E257" s="8" t="s">
        <v>796</v>
      </c>
      <c r="F257" s="5" t="s">
        <v>797</v>
      </c>
    </row>
    <row r="258" customFormat="false" ht="15" hidden="false" customHeight="false" outlineLevel="0" collapsed="false">
      <c r="A258" s="8"/>
      <c r="B258" s="8"/>
      <c r="C258" s="5" t="s">
        <v>681</v>
      </c>
      <c r="D258" s="24" t="n">
        <v>300</v>
      </c>
      <c r="E258" s="8" t="s">
        <v>796</v>
      </c>
      <c r="F258" s="5" t="s">
        <v>797</v>
      </c>
    </row>
    <row r="259" customFormat="false" ht="15" hidden="false" customHeight="false" outlineLevel="0" collapsed="false">
      <c r="A259" s="8"/>
      <c r="B259" s="8"/>
      <c r="C259" s="5" t="s">
        <v>684</v>
      </c>
      <c r="D259" s="24" t="n">
        <v>295</v>
      </c>
      <c r="E259" s="8" t="s">
        <v>796</v>
      </c>
      <c r="F259" s="5" t="s">
        <v>797</v>
      </c>
    </row>
    <row r="260" customFormat="false" ht="15" hidden="false" customHeight="false" outlineLevel="0" collapsed="false">
      <c r="A260" s="8"/>
      <c r="B260" s="8"/>
      <c r="C260" s="5" t="s">
        <v>685</v>
      </c>
      <c r="D260" s="24" t="n">
        <v>240</v>
      </c>
      <c r="E260" s="8" t="s">
        <v>796</v>
      </c>
      <c r="F260" s="5"/>
    </row>
    <row r="261" customFormat="false" ht="15" hidden="false" customHeight="false" outlineLevel="0" collapsed="false">
      <c r="A261" s="8"/>
      <c r="B261" s="8"/>
      <c r="C261" s="5" t="s">
        <v>589</v>
      </c>
      <c r="D261" s="24" t="n">
        <v>50</v>
      </c>
      <c r="E261" s="8" t="s">
        <v>796</v>
      </c>
      <c r="F261" s="5"/>
    </row>
    <row r="262" customFormat="false" ht="15" hidden="false" customHeight="false" outlineLevel="0" collapsed="false">
      <c r="A262" s="8"/>
      <c r="B262" s="8"/>
      <c r="C262" s="5" t="s">
        <v>669</v>
      </c>
      <c r="D262" s="24" t="n">
        <v>40</v>
      </c>
      <c r="E262" s="8" t="s">
        <v>796</v>
      </c>
      <c r="F262" s="5"/>
    </row>
    <row r="263" customFormat="false" ht="15" hidden="false" customHeight="false" outlineLevel="0" collapsed="false">
      <c r="A263" s="8"/>
      <c r="B263" s="8"/>
      <c r="C263" s="5" t="s">
        <v>561</v>
      </c>
      <c r="D263" s="24" t="n">
        <v>70</v>
      </c>
      <c r="E263" s="8" t="s">
        <v>796</v>
      </c>
      <c r="F263" s="5"/>
    </row>
    <row r="264" customFormat="false" ht="15" hidden="false" customHeight="false" outlineLevel="0" collapsed="false">
      <c r="A264" s="8"/>
      <c r="B264" s="8"/>
      <c r="C264" s="5" t="s">
        <v>641</v>
      </c>
      <c r="D264" s="24" t="n">
        <v>1.5</v>
      </c>
      <c r="E264" s="8" t="s">
        <v>798</v>
      </c>
      <c r="F264" s="5"/>
    </row>
    <row r="265" customFormat="false" ht="15" hidden="false" customHeight="false" outlineLevel="0" collapsed="false">
      <c r="A265" s="8"/>
      <c r="B265" s="8"/>
      <c r="C265" s="5" t="s">
        <v>640</v>
      </c>
      <c r="D265" s="24" t="n">
        <v>500</v>
      </c>
      <c r="E265" s="8" t="s">
        <v>796</v>
      </c>
      <c r="F265" s="5"/>
    </row>
    <row r="266" customFormat="false" ht="15" hidden="false" customHeight="false" outlineLevel="0" collapsed="false">
      <c r="A266" s="8"/>
      <c r="B266" s="8"/>
      <c r="C266" s="5" t="s">
        <v>803</v>
      </c>
      <c r="D266" s="24" t="n">
        <v>220</v>
      </c>
      <c r="E266" s="8" t="s">
        <v>796</v>
      </c>
      <c r="F266" s="5" t="s">
        <v>802</v>
      </c>
    </row>
    <row r="267" customFormat="false" ht="15" hidden="false" customHeight="false" outlineLevel="0" collapsed="false">
      <c r="A267" s="8"/>
      <c r="B267" s="8"/>
      <c r="C267" s="5" t="s">
        <v>805</v>
      </c>
      <c r="D267" s="24" t="n">
        <v>176</v>
      </c>
      <c r="E267" s="8" t="s">
        <v>796</v>
      </c>
      <c r="F267" s="5" t="s">
        <v>800</v>
      </c>
    </row>
    <row r="268" customFormat="false" ht="15" hidden="false" customHeight="false" outlineLevel="0" collapsed="false">
      <c r="A268" s="8"/>
      <c r="B268" s="8"/>
      <c r="C268" s="5" t="s">
        <v>713</v>
      </c>
      <c r="D268" s="24" t="n">
        <v>40</v>
      </c>
      <c r="E268" s="8" t="s">
        <v>796</v>
      </c>
      <c r="F268" s="5"/>
    </row>
    <row r="269" customFormat="false" ht="15" hidden="false" customHeight="false" outlineLevel="0" collapsed="false">
      <c r="A269" s="8"/>
      <c r="B269" s="8"/>
      <c r="C269" s="5" t="s">
        <v>806</v>
      </c>
      <c r="D269" s="8" t="n">
        <v>5</v>
      </c>
      <c r="E269" s="8" t="s">
        <v>807</v>
      </c>
      <c r="F269" s="5" t="s">
        <v>808</v>
      </c>
    </row>
    <row r="270" customFormat="false" ht="15" hidden="false" customHeight="false" outlineLevel="0" collapsed="false">
      <c r="A270" s="8"/>
      <c r="B270" s="8"/>
      <c r="C270" s="5" t="s">
        <v>580</v>
      </c>
      <c r="D270" s="24" t="n">
        <v>70</v>
      </c>
      <c r="E270" s="8" t="s">
        <v>796</v>
      </c>
      <c r="F270" s="5"/>
    </row>
    <row r="271" customFormat="false" ht="15" hidden="false" customHeight="false" outlineLevel="0" collapsed="false">
      <c r="A271" s="8"/>
      <c r="B271" s="8"/>
      <c r="C271" s="5" t="s">
        <v>591</v>
      </c>
      <c r="D271" s="24" t="n">
        <v>110</v>
      </c>
      <c r="E271" s="8" t="s">
        <v>796</v>
      </c>
      <c r="F271" s="5"/>
    </row>
    <row r="272" customFormat="false" ht="15" hidden="false" customHeight="false" outlineLevel="0" collapsed="false">
      <c r="A272" s="8"/>
      <c r="B272" s="8"/>
      <c r="C272" s="5" t="s">
        <v>574</v>
      </c>
      <c r="D272" s="24" t="n">
        <v>50</v>
      </c>
      <c r="E272" s="8" t="s">
        <v>796</v>
      </c>
      <c r="F272" s="5"/>
    </row>
    <row r="273" customFormat="false" ht="15" hidden="false" customHeight="false" outlineLevel="0" collapsed="false">
      <c r="A273" s="8"/>
      <c r="B273" s="8"/>
      <c r="C273" s="5" t="s">
        <v>595</v>
      </c>
      <c r="D273" s="24" t="n">
        <v>96</v>
      </c>
      <c r="E273" s="8" t="s">
        <v>796</v>
      </c>
      <c r="F273" s="5" t="s">
        <v>802</v>
      </c>
    </row>
    <row r="274" customFormat="false" ht="15" hidden="false" customHeight="false" outlineLevel="0" collapsed="false">
      <c r="A274" s="8"/>
      <c r="B274" s="8"/>
      <c r="C274" s="5" t="s">
        <v>540</v>
      </c>
      <c r="D274" s="24" t="n">
        <v>85</v>
      </c>
      <c r="E274" s="8" t="s">
        <v>796</v>
      </c>
      <c r="F274" s="5"/>
    </row>
    <row r="275" customFormat="false" ht="15" hidden="false" customHeight="false" outlineLevel="0" collapsed="false">
      <c r="A275" s="8"/>
      <c r="B275" s="8"/>
      <c r="C275" s="5" t="s">
        <v>592</v>
      </c>
      <c r="D275" s="24" t="n">
        <v>80</v>
      </c>
      <c r="E275" s="8" t="s">
        <v>796</v>
      </c>
      <c r="F275" s="5"/>
    </row>
    <row r="276" customFormat="false" ht="15" hidden="false" customHeight="false" outlineLevel="0" collapsed="false">
      <c r="A276" s="8"/>
      <c r="B276" s="8"/>
      <c r="C276" s="5" t="s">
        <v>541</v>
      </c>
      <c r="D276" s="24" t="n">
        <v>2.93</v>
      </c>
      <c r="E276" s="8" t="s">
        <v>809</v>
      </c>
      <c r="F276" s="5"/>
    </row>
    <row r="277" customFormat="false" ht="15" hidden="false" customHeight="false" outlineLevel="0" collapsed="false">
      <c r="A277" s="8"/>
      <c r="B277" s="8"/>
      <c r="C277" s="5" t="s">
        <v>488</v>
      </c>
      <c r="D277" s="24" t="n">
        <v>355</v>
      </c>
      <c r="E277" s="8" t="s">
        <v>796</v>
      </c>
      <c r="F277" s="5"/>
    </row>
    <row r="278" customFormat="false" ht="15" hidden="false" customHeight="false" outlineLevel="0" collapsed="false">
      <c r="A278" s="8"/>
      <c r="B278" s="8"/>
      <c r="C278" s="5" t="s">
        <v>653</v>
      </c>
      <c r="D278" s="24" t="n">
        <v>110</v>
      </c>
      <c r="E278" s="8" t="s">
        <v>796</v>
      </c>
      <c r="F278" s="5"/>
    </row>
    <row r="279" customFormat="false" ht="15" hidden="false" customHeight="false" outlineLevel="0" collapsed="false">
      <c r="A279" s="8"/>
      <c r="B279" s="8"/>
      <c r="C279" s="5" t="s">
        <v>599</v>
      </c>
      <c r="D279" s="24" t="n">
        <v>150</v>
      </c>
      <c r="E279" s="8" t="s">
        <v>796</v>
      </c>
      <c r="F279" s="5"/>
    </row>
    <row r="280" customFormat="false" ht="15" hidden="false" customHeight="false" outlineLevel="0" collapsed="false">
      <c r="A280" s="8"/>
      <c r="B280" s="8"/>
      <c r="C280" s="5" t="s">
        <v>811</v>
      </c>
      <c r="D280" s="24" t="n">
        <v>978</v>
      </c>
      <c r="E280" s="8" t="s">
        <v>796</v>
      </c>
      <c r="F280" s="5" t="s">
        <v>802</v>
      </c>
    </row>
    <row r="281" customFormat="false" ht="15" hidden="false" customHeight="false" outlineLevel="0" collapsed="false">
      <c r="A281" s="8"/>
      <c r="B281" s="8"/>
      <c r="C281" s="5" t="s">
        <v>490</v>
      </c>
      <c r="D281" s="24" t="n">
        <v>6</v>
      </c>
      <c r="E281" s="8" t="s">
        <v>796</v>
      </c>
      <c r="F281" s="5"/>
    </row>
    <row r="282" customFormat="false" ht="15" hidden="false" customHeight="false" outlineLevel="0" collapsed="false">
      <c r="A282" s="8"/>
      <c r="B282" s="8"/>
      <c r="C282" s="5" t="s">
        <v>542</v>
      </c>
      <c r="D282" s="24" t="n">
        <v>100</v>
      </c>
      <c r="E282" s="8" t="s">
        <v>796</v>
      </c>
      <c r="F282" s="5"/>
    </row>
    <row r="283" customFormat="false" ht="15" hidden="false" customHeight="false" outlineLevel="0" collapsed="false">
      <c r="A283" s="8"/>
      <c r="B283" s="8"/>
      <c r="C283" s="5" t="s">
        <v>491</v>
      </c>
      <c r="D283" s="24" t="n">
        <v>4</v>
      </c>
      <c r="E283" s="8" t="s">
        <v>796</v>
      </c>
      <c r="F283" s="5"/>
    </row>
    <row r="284" customFormat="false" ht="15" hidden="false" customHeight="false" outlineLevel="0" collapsed="false">
      <c r="A284" s="8"/>
      <c r="B284" s="8"/>
      <c r="C284" s="5" t="s">
        <v>634</v>
      </c>
      <c r="D284" s="24" t="n">
        <v>1.08</v>
      </c>
      <c r="E284" s="8" t="s">
        <v>798</v>
      </c>
      <c r="F284" s="5"/>
    </row>
    <row r="285" customFormat="false" ht="15" hidden="false" customHeight="false" outlineLevel="0" collapsed="false">
      <c r="A285" s="8"/>
      <c r="B285" s="8"/>
      <c r="C285" s="5" t="s">
        <v>554</v>
      </c>
      <c r="D285" s="24" t="n">
        <v>220</v>
      </c>
      <c r="E285" s="8" t="s">
        <v>796</v>
      </c>
      <c r="F285" s="5"/>
    </row>
    <row r="286" customFormat="false" ht="15" hidden="false" customHeight="false" outlineLevel="0" collapsed="false">
      <c r="A286" s="8"/>
      <c r="B286" s="8"/>
      <c r="C286" s="5" t="s">
        <v>639</v>
      </c>
      <c r="D286" s="24" t="n">
        <v>260</v>
      </c>
      <c r="E286" s="8" t="s">
        <v>796</v>
      </c>
      <c r="F286" s="5"/>
    </row>
    <row r="287" customFormat="false" ht="15" hidden="false" customHeight="false" outlineLevel="0" collapsed="false">
      <c r="A287" s="8"/>
      <c r="B287" s="8"/>
      <c r="C287" s="5" t="s">
        <v>489</v>
      </c>
      <c r="D287" s="24" t="n">
        <v>162</v>
      </c>
      <c r="E287" s="8" t="s">
        <v>796</v>
      </c>
      <c r="F287" s="5"/>
    </row>
    <row r="288" customFormat="false" ht="15" hidden="false" customHeight="false" outlineLevel="0" collapsed="false">
      <c r="A288" s="8"/>
      <c r="B288" s="8"/>
      <c r="C288" s="5" t="s">
        <v>594</v>
      </c>
      <c r="D288" s="24" t="n">
        <v>150</v>
      </c>
      <c r="E288" s="8" t="s">
        <v>796</v>
      </c>
      <c r="F288" s="5" t="s">
        <v>797</v>
      </c>
    </row>
    <row r="289" customFormat="false" ht="15" hidden="false" customHeight="false" outlineLevel="0" collapsed="false">
      <c r="A289" s="8"/>
      <c r="B289" s="8"/>
      <c r="C289" s="5" t="s">
        <v>812</v>
      </c>
      <c r="D289" s="24" t="n">
        <v>165</v>
      </c>
      <c r="E289" s="8" t="s">
        <v>796</v>
      </c>
      <c r="F289" s="5" t="s">
        <v>802</v>
      </c>
    </row>
    <row r="290" customFormat="false" ht="15" hidden="false" customHeight="false" outlineLevel="0" collapsed="false">
      <c r="A290" s="8"/>
      <c r="B290" s="8"/>
      <c r="C290" s="5" t="s">
        <v>607</v>
      </c>
      <c r="D290" s="24" t="n">
        <v>190</v>
      </c>
      <c r="E290" s="8" t="s">
        <v>796</v>
      </c>
      <c r="F290" s="5"/>
    </row>
    <row r="291" customFormat="false" ht="15" hidden="false" customHeight="false" outlineLevel="0" collapsed="false">
      <c r="A291" s="8"/>
      <c r="B291" s="8"/>
      <c r="C291" s="5" t="s">
        <v>548</v>
      </c>
      <c r="D291" s="24" t="n">
        <v>180</v>
      </c>
      <c r="E291" s="8" t="s">
        <v>796</v>
      </c>
      <c r="F291" s="5"/>
    </row>
    <row r="292" customFormat="false" ht="15" hidden="false" customHeight="false" outlineLevel="0" collapsed="false">
      <c r="A292" s="8"/>
      <c r="B292" s="8"/>
      <c r="C292" s="5" t="s">
        <v>689</v>
      </c>
      <c r="D292" s="24" t="n">
        <v>260</v>
      </c>
      <c r="E292" s="8" t="s">
        <v>796</v>
      </c>
      <c r="F292" s="5"/>
    </row>
    <row r="293" customFormat="false" ht="15" hidden="false" customHeight="false" outlineLevel="0" collapsed="false">
      <c r="A293" s="8"/>
      <c r="B293" s="8"/>
      <c r="C293" s="5" t="s">
        <v>505</v>
      </c>
      <c r="D293" s="24" t="n">
        <v>10</v>
      </c>
      <c r="E293" s="8" t="s">
        <v>796</v>
      </c>
      <c r="F293" s="5"/>
    </row>
    <row r="294" customFormat="false" ht="15" hidden="false" customHeight="false" outlineLevel="0" collapsed="false">
      <c r="A294" s="8"/>
      <c r="B294" s="8"/>
      <c r="C294" s="5" t="s">
        <v>815</v>
      </c>
      <c r="D294" s="24" t="n">
        <v>156</v>
      </c>
      <c r="E294" s="8" t="s">
        <v>796</v>
      </c>
      <c r="F294" s="5" t="s">
        <v>802</v>
      </c>
    </row>
    <row r="295" customFormat="false" ht="15" hidden="false" customHeight="false" outlineLevel="0" collapsed="false">
      <c r="A295" s="8"/>
      <c r="B295" s="8"/>
      <c r="C295" s="5" t="s">
        <v>708</v>
      </c>
      <c r="D295" s="24" t="n">
        <v>1.4</v>
      </c>
      <c r="E295" s="8" t="s">
        <v>809</v>
      </c>
      <c r="F295" s="5"/>
    </row>
    <row r="296" customFormat="false" ht="15" hidden="false" customHeight="false" outlineLevel="0" collapsed="false">
      <c r="A296" s="8"/>
      <c r="B296" s="8"/>
      <c r="C296" s="5" t="s">
        <v>638</v>
      </c>
      <c r="D296" s="24" t="n">
        <v>895</v>
      </c>
      <c r="E296" s="8" t="s">
        <v>796</v>
      </c>
      <c r="F296" s="5"/>
    </row>
    <row r="297" customFormat="false" ht="15" hidden="false" customHeight="false" outlineLevel="0" collapsed="false">
      <c r="A297" s="8"/>
      <c r="B297" s="8"/>
      <c r="C297" s="5" t="s">
        <v>536</v>
      </c>
      <c r="D297" s="24" t="n">
        <v>250</v>
      </c>
      <c r="E297" s="8" t="s">
        <v>796</v>
      </c>
      <c r="F297" s="5"/>
    </row>
    <row r="298" customFormat="false" ht="15" hidden="false" customHeight="false" outlineLevel="0" collapsed="false">
      <c r="A298" s="8"/>
      <c r="B298" s="8"/>
      <c r="C298" s="5" t="s">
        <v>537</v>
      </c>
      <c r="D298" s="24" t="n">
        <v>510</v>
      </c>
      <c r="E298" s="8" t="s">
        <v>796</v>
      </c>
      <c r="F298" s="5"/>
    </row>
    <row r="299" customFormat="false" ht="15" hidden="false" customHeight="false" outlineLevel="0" collapsed="false">
      <c r="A299" s="8"/>
      <c r="B299" s="8"/>
      <c r="C299" s="5" t="s">
        <v>508</v>
      </c>
      <c r="D299" s="24" t="n">
        <v>150</v>
      </c>
      <c r="E299" s="8" t="s">
        <v>796</v>
      </c>
      <c r="F299" s="5"/>
    </row>
    <row r="300" customFormat="false" ht="15" hidden="false" customHeight="false" outlineLevel="0" collapsed="false">
      <c r="A300" s="8"/>
      <c r="B300" s="8"/>
      <c r="C300" s="5" t="s">
        <v>552</v>
      </c>
      <c r="D300" s="24" t="n">
        <v>110</v>
      </c>
      <c r="E300" s="8" t="s">
        <v>796</v>
      </c>
      <c r="F300" s="5"/>
    </row>
    <row r="301" customFormat="false" ht="15" hidden="false" customHeight="false" outlineLevel="0" collapsed="false">
      <c r="A301" s="8"/>
      <c r="B301" s="8"/>
      <c r="C301" s="5" t="s">
        <v>528</v>
      </c>
      <c r="D301" s="24" t="n">
        <v>450</v>
      </c>
      <c r="E301" s="8" t="s">
        <v>796</v>
      </c>
      <c r="F301" s="5"/>
    </row>
    <row r="302" customFormat="false" ht="15" hidden="false" customHeight="false" outlineLevel="0" collapsed="false">
      <c r="A302" s="8"/>
      <c r="B302" s="8"/>
      <c r="C302" s="5" t="s">
        <v>545</v>
      </c>
      <c r="D302" s="24" t="n">
        <v>80</v>
      </c>
      <c r="E302" s="8" t="s">
        <v>796</v>
      </c>
      <c r="F302" s="5"/>
    </row>
    <row r="303" customFormat="false" ht="15" hidden="false" customHeight="false" outlineLevel="0" collapsed="false">
      <c r="A303" s="8"/>
      <c r="B303" s="8"/>
      <c r="C303" s="5" t="s">
        <v>818</v>
      </c>
      <c r="D303" s="24" t="n">
        <v>169</v>
      </c>
      <c r="E303" s="8" t="s">
        <v>796</v>
      </c>
      <c r="F303" s="5" t="s">
        <v>802</v>
      </c>
    </row>
    <row r="304" customFormat="false" ht="15" hidden="false" customHeight="false" outlineLevel="0" collapsed="false">
      <c r="A304" s="8"/>
      <c r="B304" s="8"/>
      <c r="C304" s="5" t="s">
        <v>573</v>
      </c>
      <c r="D304" s="24" t="n">
        <v>350</v>
      </c>
      <c r="E304" s="8" t="s">
        <v>796</v>
      </c>
      <c r="F304" s="5"/>
    </row>
    <row r="305" customFormat="false" ht="15" hidden="false" customHeight="false" outlineLevel="0" collapsed="false">
      <c r="A305" s="8"/>
      <c r="B305" s="8"/>
      <c r="C305" s="5" t="s">
        <v>651</v>
      </c>
      <c r="D305" s="24" t="n">
        <v>15</v>
      </c>
      <c r="E305" s="8" t="s">
        <v>796</v>
      </c>
      <c r="F305" s="5"/>
    </row>
    <row r="306" customFormat="false" ht="15" hidden="false" customHeight="false" outlineLevel="0" collapsed="false">
      <c r="A306" s="8"/>
      <c r="B306" s="8"/>
      <c r="C306" s="5" t="s">
        <v>695</v>
      </c>
      <c r="D306" s="24" t="n">
        <v>60</v>
      </c>
      <c r="E306" s="8" t="s">
        <v>796</v>
      </c>
      <c r="F306" s="5" t="s">
        <v>797</v>
      </c>
    </row>
    <row r="307" customFormat="false" ht="15" hidden="false" customHeight="false" outlineLevel="0" collapsed="false">
      <c r="A307" s="8"/>
      <c r="B307" s="8"/>
      <c r="C307" s="5" t="s">
        <v>534</v>
      </c>
      <c r="D307" s="24" t="n">
        <v>110</v>
      </c>
      <c r="E307" s="8" t="s">
        <v>796</v>
      </c>
      <c r="F307" s="5"/>
    </row>
    <row r="308" customFormat="false" ht="15" hidden="false" customHeight="false" outlineLevel="0" collapsed="false">
      <c r="A308" s="8"/>
      <c r="B308" s="8"/>
      <c r="C308" s="5" t="s">
        <v>819</v>
      </c>
      <c r="D308" s="24" t="n">
        <v>887</v>
      </c>
      <c r="E308" s="8" t="s">
        <v>796</v>
      </c>
      <c r="F308" s="5" t="s">
        <v>800</v>
      </c>
    </row>
    <row r="309" customFormat="false" ht="15" hidden="false" customHeight="false" outlineLevel="0" collapsed="false">
      <c r="A309" s="8"/>
      <c r="B309" s="8"/>
      <c r="C309" s="5" t="s">
        <v>820</v>
      </c>
      <c r="D309" s="24" t="n">
        <v>1.32</v>
      </c>
      <c r="E309" s="8" t="s">
        <v>798</v>
      </c>
      <c r="F309" s="5" t="s">
        <v>802</v>
      </c>
    </row>
    <row r="310" customFormat="false" ht="15" hidden="false" customHeight="false" outlineLevel="0" collapsed="false">
      <c r="A310" s="8"/>
      <c r="B310" s="8"/>
      <c r="C310" s="5" t="s">
        <v>549</v>
      </c>
      <c r="D310" s="24" t="n">
        <v>90</v>
      </c>
      <c r="E310" s="8" t="s">
        <v>796</v>
      </c>
      <c r="F310" s="5"/>
    </row>
    <row r="311" customFormat="false" ht="15" hidden="false" customHeight="false" outlineLevel="0" collapsed="false">
      <c r="A311" s="8"/>
      <c r="B311" s="8"/>
      <c r="C311" s="5" t="s">
        <v>840</v>
      </c>
      <c r="D311" s="24" t="n">
        <v>150</v>
      </c>
      <c r="E311" s="8" t="s">
        <v>796</v>
      </c>
      <c r="F311" s="5" t="s">
        <v>802</v>
      </c>
    </row>
    <row r="312" customFormat="false" ht="15" hidden="false" customHeight="false" outlineLevel="0" collapsed="false">
      <c r="A312" s="8"/>
      <c r="B312" s="8"/>
      <c r="C312" s="5" t="s">
        <v>850</v>
      </c>
      <c r="D312" s="24" t="n">
        <v>172</v>
      </c>
      <c r="E312" s="8" t="s">
        <v>796</v>
      </c>
      <c r="F312" s="5" t="s">
        <v>800</v>
      </c>
    </row>
    <row r="313" customFormat="false" ht="15" hidden="false" customHeight="false" outlineLevel="0" collapsed="false">
      <c r="A313" s="8"/>
      <c r="B313" s="8"/>
      <c r="C313" s="5" t="s">
        <v>828</v>
      </c>
      <c r="D313" s="24" t="n">
        <v>484</v>
      </c>
      <c r="E313" s="8" t="s">
        <v>796</v>
      </c>
      <c r="F313" s="5" t="s">
        <v>802</v>
      </c>
    </row>
    <row r="314" customFormat="false" ht="15" hidden="false" customHeight="false" outlineLevel="0" collapsed="false">
      <c r="A314" s="8"/>
      <c r="B314" s="8"/>
      <c r="C314" s="5" t="s">
        <v>829</v>
      </c>
      <c r="D314" s="24" t="n">
        <v>150</v>
      </c>
      <c r="E314" s="8" t="s">
        <v>796</v>
      </c>
      <c r="F314" s="5"/>
    </row>
    <row r="315" customFormat="false" ht="15" hidden="false" customHeight="false" outlineLevel="0" collapsed="false">
      <c r="A315" s="3"/>
      <c r="B315" s="3"/>
      <c r="C315" s="15" t="s">
        <v>851</v>
      </c>
      <c r="D315" s="3"/>
      <c r="E315" s="3"/>
      <c r="F315" s="3"/>
    </row>
    <row r="317" customFormat="false" ht="15" hidden="false" customHeight="false" outlineLevel="0" collapsed="false">
      <c r="A317" s="8" t="n">
        <v>6</v>
      </c>
      <c r="B317" s="8" t="s">
        <v>852</v>
      </c>
      <c r="C317" s="5" t="s">
        <v>794</v>
      </c>
      <c r="D317" s="8" t="n">
        <v>5</v>
      </c>
      <c r="E317" s="8" t="s">
        <v>795</v>
      </c>
      <c r="F317" s="5"/>
    </row>
    <row r="318" customFormat="false" ht="15" hidden="false" customHeight="false" outlineLevel="0" collapsed="false">
      <c r="A318" s="8"/>
      <c r="B318" s="8"/>
      <c r="C318" s="5" t="s">
        <v>678</v>
      </c>
      <c r="D318" s="24" t="n">
        <v>200</v>
      </c>
      <c r="E318" s="8" t="s">
        <v>796</v>
      </c>
      <c r="F318" s="5" t="s">
        <v>797</v>
      </c>
    </row>
    <row r="319" customFormat="false" ht="15" hidden="false" customHeight="false" outlineLevel="0" collapsed="false">
      <c r="A319" s="8"/>
      <c r="B319" s="8"/>
      <c r="C319" s="5" t="s">
        <v>681</v>
      </c>
      <c r="D319" s="24" t="n">
        <v>200</v>
      </c>
      <c r="E319" s="8" t="s">
        <v>796</v>
      </c>
      <c r="F319" s="5" t="s">
        <v>797</v>
      </c>
    </row>
    <row r="320" customFormat="false" ht="15" hidden="false" customHeight="false" outlineLevel="0" collapsed="false">
      <c r="A320" s="8"/>
      <c r="B320" s="8"/>
      <c r="C320" s="5" t="s">
        <v>684</v>
      </c>
      <c r="D320" s="24" t="n">
        <v>480</v>
      </c>
      <c r="E320" s="8" t="s">
        <v>796</v>
      </c>
      <c r="F320" s="5" t="s">
        <v>797</v>
      </c>
    </row>
    <row r="321" customFormat="false" ht="15" hidden="false" customHeight="false" outlineLevel="0" collapsed="false">
      <c r="A321" s="8"/>
      <c r="B321" s="8"/>
      <c r="C321" s="5" t="s">
        <v>853</v>
      </c>
      <c r="D321" s="24" t="n">
        <v>583</v>
      </c>
      <c r="E321" s="8" t="s">
        <v>796</v>
      </c>
      <c r="F321" s="5" t="s">
        <v>802</v>
      </c>
    </row>
    <row r="322" customFormat="false" ht="15" hidden="false" customHeight="false" outlineLevel="0" collapsed="false">
      <c r="A322" s="8"/>
      <c r="B322" s="8"/>
      <c r="C322" s="5" t="s">
        <v>517</v>
      </c>
      <c r="D322" s="24" t="n">
        <v>500</v>
      </c>
      <c r="E322" s="8" t="s">
        <v>796</v>
      </c>
      <c r="F322" s="5"/>
    </row>
    <row r="323" customFormat="false" ht="15" hidden="false" customHeight="false" outlineLevel="0" collapsed="false">
      <c r="A323" s="8"/>
      <c r="B323" s="8"/>
      <c r="C323" s="5" t="s">
        <v>685</v>
      </c>
      <c r="D323" s="24" t="n">
        <v>360</v>
      </c>
      <c r="E323" s="8" t="s">
        <v>796</v>
      </c>
      <c r="F323" s="5"/>
    </row>
    <row r="324" customFormat="false" ht="15" hidden="false" customHeight="false" outlineLevel="0" collapsed="false">
      <c r="A324" s="8"/>
      <c r="B324" s="8"/>
      <c r="C324" s="5" t="s">
        <v>669</v>
      </c>
      <c r="D324" s="24" t="n">
        <v>60</v>
      </c>
      <c r="E324" s="8" t="s">
        <v>796</v>
      </c>
      <c r="F324" s="5"/>
    </row>
    <row r="325" customFormat="false" ht="15" hidden="false" customHeight="false" outlineLevel="0" collapsed="false">
      <c r="A325" s="8"/>
      <c r="B325" s="8"/>
      <c r="C325" s="5" t="s">
        <v>561</v>
      </c>
      <c r="D325" s="24" t="n">
        <v>100</v>
      </c>
      <c r="E325" s="8" t="s">
        <v>796</v>
      </c>
      <c r="F325" s="5"/>
    </row>
    <row r="326" customFormat="false" ht="15" hidden="false" customHeight="false" outlineLevel="0" collapsed="false">
      <c r="A326" s="8"/>
      <c r="B326" s="8"/>
      <c r="C326" s="5" t="s">
        <v>641</v>
      </c>
      <c r="D326" s="24" t="n">
        <v>2.4</v>
      </c>
      <c r="E326" s="8" t="s">
        <v>798</v>
      </c>
      <c r="F326" s="5"/>
    </row>
    <row r="327" customFormat="false" ht="15" hidden="false" customHeight="false" outlineLevel="0" collapsed="false">
      <c r="A327" s="8"/>
      <c r="B327" s="8"/>
      <c r="C327" s="5" t="s">
        <v>801</v>
      </c>
      <c r="D327" s="24" t="n">
        <v>169</v>
      </c>
      <c r="E327" s="8" t="s">
        <v>796</v>
      </c>
      <c r="F327" s="5" t="s">
        <v>802</v>
      </c>
    </row>
    <row r="328" customFormat="false" ht="15" hidden="false" customHeight="false" outlineLevel="0" collapsed="false">
      <c r="A328" s="8"/>
      <c r="B328" s="8"/>
      <c r="C328" s="5" t="s">
        <v>640</v>
      </c>
      <c r="D328" s="24" t="n">
        <v>420</v>
      </c>
      <c r="E328" s="8" t="s">
        <v>796</v>
      </c>
      <c r="F328" s="5"/>
    </row>
    <row r="329" customFormat="false" ht="15" hidden="false" customHeight="false" outlineLevel="0" collapsed="false">
      <c r="A329" s="8"/>
      <c r="B329" s="8"/>
      <c r="C329" s="5" t="s">
        <v>804</v>
      </c>
      <c r="D329" s="24" t="n">
        <v>234</v>
      </c>
      <c r="E329" s="8" t="s">
        <v>796</v>
      </c>
      <c r="F329" s="5" t="s">
        <v>802</v>
      </c>
    </row>
    <row r="330" customFormat="false" ht="15" hidden="false" customHeight="false" outlineLevel="0" collapsed="false">
      <c r="A330" s="8"/>
      <c r="B330" s="8"/>
      <c r="C330" s="5" t="s">
        <v>805</v>
      </c>
      <c r="D330" s="24" t="n">
        <v>176</v>
      </c>
      <c r="E330" s="8" t="s">
        <v>796</v>
      </c>
      <c r="F330" s="5" t="s">
        <v>800</v>
      </c>
    </row>
    <row r="331" customFormat="false" ht="15" hidden="false" customHeight="false" outlineLevel="0" collapsed="false">
      <c r="A331" s="8"/>
      <c r="B331" s="8"/>
      <c r="C331" s="5" t="s">
        <v>713</v>
      </c>
      <c r="D331" s="24" t="n">
        <v>80</v>
      </c>
      <c r="E331" s="8" t="s">
        <v>796</v>
      </c>
      <c r="F331" s="5"/>
    </row>
    <row r="332" customFormat="false" ht="15" hidden="false" customHeight="false" outlineLevel="0" collapsed="false">
      <c r="A332" s="8"/>
      <c r="B332" s="8"/>
      <c r="C332" s="5" t="s">
        <v>845</v>
      </c>
      <c r="D332" s="24" t="n">
        <v>150</v>
      </c>
      <c r="E332" s="8" t="s">
        <v>796</v>
      </c>
      <c r="F332" s="5"/>
    </row>
    <row r="333" customFormat="false" ht="15" hidden="false" customHeight="false" outlineLevel="0" collapsed="false">
      <c r="A333" s="8"/>
      <c r="B333" s="8"/>
      <c r="C333" s="5" t="s">
        <v>806</v>
      </c>
      <c r="D333" s="8" t="n">
        <v>5</v>
      </c>
      <c r="E333" s="8" t="s">
        <v>807</v>
      </c>
      <c r="F333" s="5" t="s">
        <v>808</v>
      </c>
    </row>
    <row r="334" customFormat="false" ht="15" hidden="false" customHeight="false" outlineLevel="0" collapsed="false">
      <c r="A334" s="8"/>
      <c r="B334" s="8"/>
      <c r="C334" s="5" t="s">
        <v>834</v>
      </c>
      <c r="D334" s="24" t="n">
        <v>192</v>
      </c>
      <c r="E334" s="8" t="s">
        <v>796</v>
      </c>
      <c r="F334" s="5" t="s">
        <v>802</v>
      </c>
    </row>
    <row r="335" customFormat="false" ht="15" hidden="false" customHeight="false" outlineLevel="0" collapsed="false">
      <c r="A335" s="8"/>
      <c r="B335" s="8"/>
      <c r="C335" s="5" t="s">
        <v>603</v>
      </c>
      <c r="D335" s="24" t="n">
        <v>80</v>
      </c>
      <c r="E335" s="8" t="s">
        <v>796</v>
      </c>
      <c r="F335" s="5"/>
    </row>
    <row r="336" customFormat="false" ht="15" hidden="false" customHeight="false" outlineLevel="0" collapsed="false">
      <c r="A336" s="8"/>
      <c r="B336" s="8"/>
      <c r="C336" s="5" t="s">
        <v>541</v>
      </c>
      <c r="D336" s="24" t="n">
        <v>2.78</v>
      </c>
      <c r="E336" s="8" t="s">
        <v>809</v>
      </c>
      <c r="F336" s="5"/>
    </row>
    <row r="337" customFormat="false" ht="15" hidden="false" customHeight="false" outlineLevel="0" collapsed="false">
      <c r="A337" s="8"/>
      <c r="B337" s="8"/>
      <c r="C337" s="5" t="s">
        <v>488</v>
      </c>
      <c r="D337" s="24" t="n">
        <v>300</v>
      </c>
      <c r="E337" s="8" t="s">
        <v>796</v>
      </c>
      <c r="F337" s="5"/>
    </row>
    <row r="338" customFormat="false" ht="15" hidden="false" customHeight="false" outlineLevel="0" collapsed="false">
      <c r="A338" s="8"/>
      <c r="B338" s="8"/>
      <c r="C338" s="5" t="s">
        <v>653</v>
      </c>
      <c r="D338" s="24" t="n">
        <v>85</v>
      </c>
      <c r="E338" s="8" t="s">
        <v>796</v>
      </c>
      <c r="F338" s="5"/>
    </row>
    <row r="339" customFormat="false" ht="15" hidden="false" customHeight="false" outlineLevel="0" collapsed="false">
      <c r="A339" s="8"/>
      <c r="B339" s="8"/>
      <c r="C339" s="5" t="s">
        <v>835</v>
      </c>
      <c r="D339" s="24" t="n">
        <v>188</v>
      </c>
      <c r="E339" s="8" t="s">
        <v>796</v>
      </c>
      <c r="F339" s="5" t="s">
        <v>802</v>
      </c>
    </row>
    <row r="340" customFormat="false" ht="15" hidden="false" customHeight="false" outlineLevel="0" collapsed="false">
      <c r="A340" s="8"/>
      <c r="B340" s="8"/>
      <c r="C340" s="5" t="s">
        <v>811</v>
      </c>
      <c r="D340" s="24" t="n">
        <v>466</v>
      </c>
      <c r="E340" s="8" t="s">
        <v>796</v>
      </c>
      <c r="F340" s="5" t="s">
        <v>802</v>
      </c>
    </row>
    <row r="341" customFormat="false" ht="15" hidden="false" customHeight="false" outlineLevel="0" collapsed="false">
      <c r="A341" s="8"/>
      <c r="B341" s="8"/>
      <c r="C341" s="5" t="s">
        <v>490</v>
      </c>
      <c r="D341" s="24" t="n">
        <v>8</v>
      </c>
      <c r="E341" s="8" t="s">
        <v>796</v>
      </c>
      <c r="F341" s="5"/>
    </row>
    <row r="342" customFormat="false" ht="15" hidden="false" customHeight="false" outlineLevel="0" collapsed="false">
      <c r="A342" s="8"/>
      <c r="B342" s="8"/>
      <c r="C342" s="5" t="s">
        <v>542</v>
      </c>
      <c r="D342" s="24" t="n">
        <v>150</v>
      </c>
      <c r="E342" s="8" t="s">
        <v>796</v>
      </c>
      <c r="F342" s="5"/>
    </row>
    <row r="343" customFormat="false" ht="15" hidden="false" customHeight="false" outlineLevel="0" collapsed="false">
      <c r="A343" s="8"/>
      <c r="B343" s="8"/>
      <c r="C343" s="5" t="s">
        <v>634</v>
      </c>
      <c r="D343" s="24" t="n">
        <v>1.31</v>
      </c>
      <c r="E343" s="8" t="s">
        <v>798</v>
      </c>
      <c r="F343" s="5"/>
    </row>
    <row r="344" customFormat="false" ht="15" hidden="false" customHeight="false" outlineLevel="0" collapsed="false">
      <c r="A344" s="8"/>
      <c r="B344" s="8"/>
      <c r="C344" s="5" t="s">
        <v>538</v>
      </c>
      <c r="D344" s="24" t="n">
        <v>25</v>
      </c>
      <c r="E344" s="8" t="s">
        <v>796</v>
      </c>
      <c r="F344" s="5"/>
    </row>
    <row r="345" customFormat="false" ht="15" hidden="false" customHeight="false" outlineLevel="0" collapsed="false">
      <c r="A345" s="8"/>
      <c r="B345" s="8"/>
      <c r="C345" s="5" t="s">
        <v>647</v>
      </c>
      <c r="D345" s="24" t="n">
        <v>250</v>
      </c>
      <c r="E345" s="8" t="s">
        <v>796</v>
      </c>
      <c r="F345" s="5"/>
    </row>
    <row r="346" customFormat="false" ht="15" hidden="false" customHeight="false" outlineLevel="0" collapsed="false">
      <c r="A346" s="8"/>
      <c r="B346" s="8"/>
      <c r="C346" s="5" t="s">
        <v>648</v>
      </c>
      <c r="D346" s="24" t="n">
        <v>90</v>
      </c>
      <c r="E346" s="8" t="s">
        <v>796</v>
      </c>
      <c r="F346" s="5"/>
    </row>
    <row r="347" customFormat="false" ht="15" hidden="false" customHeight="false" outlineLevel="0" collapsed="false">
      <c r="A347" s="8"/>
      <c r="B347" s="8"/>
      <c r="C347" s="5" t="s">
        <v>639</v>
      </c>
      <c r="D347" s="24" t="n">
        <v>260</v>
      </c>
      <c r="E347" s="8" t="s">
        <v>796</v>
      </c>
      <c r="F347" s="5"/>
    </row>
    <row r="348" customFormat="false" ht="15" hidden="false" customHeight="false" outlineLevel="0" collapsed="false">
      <c r="A348" s="8"/>
      <c r="B348" s="8"/>
      <c r="C348" s="5" t="s">
        <v>823</v>
      </c>
      <c r="D348" s="24" t="n">
        <v>176</v>
      </c>
      <c r="E348" s="8" t="s">
        <v>796</v>
      </c>
      <c r="F348" s="5" t="s">
        <v>800</v>
      </c>
    </row>
    <row r="349" customFormat="false" ht="15" hidden="false" customHeight="false" outlineLevel="0" collapsed="false">
      <c r="A349" s="8"/>
      <c r="B349" s="8"/>
      <c r="C349" s="5" t="s">
        <v>489</v>
      </c>
      <c r="D349" s="24" t="n">
        <v>105</v>
      </c>
      <c r="E349" s="8" t="s">
        <v>796</v>
      </c>
      <c r="F349" s="5"/>
    </row>
    <row r="350" customFormat="false" ht="15" hidden="false" customHeight="false" outlineLevel="0" collapsed="false">
      <c r="A350" s="8"/>
      <c r="B350" s="8"/>
      <c r="C350" s="5" t="s">
        <v>498</v>
      </c>
      <c r="D350" s="24" t="n">
        <v>60</v>
      </c>
      <c r="E350" s="8" t="s">
        <v>796</v>
      </c>
      <c r="F350" s="5"/>
    </row>
    <row r="351" customFormat="false" ht="15" hidden="false" customHeight="false" outlineLevel="0" collapsed="false">
      <c r="A351" s="8"/>
      <c r="B351" s="8"/>
      <c r="C351" s="5" t="s">
        <v>813</v>
      </c>
      <c r="D351" s="24" t="n">
        <v>311</v>
      </c>
      <c r="E351" s="8" t="s">
        <v>796</v>
      </c>
      <c r="F351" s="5" t="s">
        <v>800</v>
      </c>
    </row>
    <row r="352" customFormat="false" ht="15" hidden="false" customHeight="false" outlineLevel="0" collapsed="false">
      <c r="A352" s="8"/>
      <c r="B352" s="8"/>
      <c r="C352" s="5" t="s">
        <v>605</v>
      </c>
      <c r="D352" s="24" t="n">
        <v>60</v>
      </c>
      <c r="E352" s="8" t="s">
        <v>796</v>
      </c>
      <c r="F352" s="5"/>
    </row>
    <row r="353" customFormat="false" ht="15" hidden="false" customHeight="false" outlineLevel="0" collapsed="false">
      <c r="A353" s="8"/>
      <c r="B353" s="8"/>
      <c r="C353" s="5" t="s">
        <v>607</v>
      </c>
      <c r="D353" s="24" t="n">
        <v>175</v>
      </c>
      <c r="E353" s="8" t="s">
        <v>796</v>
      </c>
      <c r="F353" s="5"/>
    </row>
    <row r="354" customFormat="false" ht="15" hidden="false" customHeight="false" outlineLevel="0" collapsed="false">
      <c r="A354" s="8"/>
      <c r="B354" s="8"/>
      <c r="C354" s="5" t="s">
        <v>626</v>
      </c>
      <c r="D354" s="24" t="n">
        <v>50</v>
      </c>
      <c r="E354" s="8" t="s">
        <v>796</v>
      </c>
      <c r="F354" s="5"/>
    </row>
    <row r="355" customFormat="false" ht="15" hidden="false" customHeight="false" outlineLevel="0" collapsed="false">
      <c r="A355" s="8"/>
      <c r="B355" s="8"/>
      <c r="C355" s="5" t="s">
        <v>689</v>
      </c>
      <c r="D355" s="24" t="n">
        <v>220</v>
      </c>
      <c r="E355" s="8" t="s">
        <v>796</v>
      </c>
      <c r="F355" s="5"/>
    </row>
    <row r="356" customFormat="false" ht="15" hidden="false" customHeight="false" outlineLevel="0" collapsed="false">
      <c r="A356" s="8"/>
      <c r="B356" s="8"/>
      <c r="C356" s="5" t="s">
        <v>526</v>
      </c>
      <c r="D356" s="24" t="n">
        <v>380</v>
      </c>
      <c r="E356" s="8" t="s">
        <v>796</v>
      </c>
      <c r="F356" s="5"/>
    </row>
    <row r="357" customFormat="false" ht="15" hidden="false" customHeight="false" outlineLevel="0" collapsed="false">
      <c r="A357" s="8"/>
      <c r="B357" s="8"/>
      <c r="C357" s="5" t="s">
        <v>505</v>
      </c>
      <c r="D357" s="24" t="n">
        <v>20</v>
      </c>
      <c r="E357" s="8" t="s">
        <v>796</v>
      </c>
      <c r="F357" s="5"/>
    </row>
    <row r="358" customFormat="false" ht="15" hidden="false" customHeight="false" outlineLevel="0" collapsed="false">
      <c r="A358" s="8"/>
      <c r="B358" s="8"/>
      <c r="C358" s="5" t="s">
        <v>815</v>
      </c>
      <c r="D358" s="24" t="n">
        <v>312</v>
      </c>
      <c r="E358" s="8" t="s">
        <v>796</v>
      </c>
      <c r="F358" s="5" t="s">
        <v>802</v>
      </c>
    </row>
    <row r="359" customFormat="false" ht="15" hidden="false" customHeight="false" outlineLevel="0" collapsed="false">
      <c r="A359" s="8"/>
      <c r="B359" s="8"/>
      <c r="C359" s="5" t="s">
        <v>825</v>
      </c>
      <c r="D359" s="24" t="n">
        <v>176</v>
      </c>
      <c r="E359" s="8" t="s">
        <v>796</v>
      </c>
      <c r="F359" s="5" t="s">
        <v>802</v>
      </c>
    </row>
    <row r="360" customFormat="false" ht="15" hidden="false" customHeight="false" outlineLevel="0" collapsed="false">
      <c r="A360" s="8"/>
      <c r="B360" s="8"/>
      <c r="C360" s="5" t="s">
        <v>826</v>
      </c>
      <c r="D360" s="24" t="n">
        <v>169</v>
      </c>
      <c r="E360" s="8" t="s">
        <v>796</v>
      </c>
      <c r="F360" s="5" t="s">
        <v>802</v>
      </c>
    </row>
    <row r="361" customFormat="false" ht="15" hidden="false" customHeight="false" outlineLevel="0" collapsed="false">
      <c r="A361" s="8"/>
      <c r="B361" s="8"/>
      <c r="C361" s="5" t="s">
        <v>708</v>
      </c>
      <c r="D361" s="24" t="n">
        <v>0.83</v>
      </c>
      <c r="E361" s="8" t="s">
        <v>809</v>
      </c>
      <c r="F361" s="5"/>
    </row>
    <row r="362" customFormat="false" ht="15" hidden="false" customHeight="false" outlineLevel="0" collapsed="false">
      <c r="A362" s="8"/>
      <c r="B362" s="8"/>
      <c r="C362" s="5" t="s">
        <v>638</v>
      </c>
      <c r="D362" s="24" t="n">
        <v>645</v>
      </c>
      <c r="E362" s="8" t="s">
        <v>796</v>
      </c>
      <c r="F362" s="5"/>
    </row>
    <row r="363" customFormat="false" ht="15" hidden="false" customHeight="false" outlineLevel="0" collapsed="false">
      <c r="A363" s="8"/>
      <c r="B363" s="8"/>
      <c r="C363" s="5" t="s">
        <v>536</v>
      </c>
      <c r="D363" s="24" t="n">
        <v>110</v>
      </c>
      <c r="E363" s="8" t="s">
        <v>796</v>
      </c>
      <c r="F363" s="5"/>
    </row>
    <row r="364" customFormat="false" ht="15" hidden="false" customHeight="false" outlineLevel="0" collapsed="false">
      <c r="A364" s="8"/>
      <c r="B364" s="8"/>
      <c r="C364" s="5" t="s">
        <v>827</v>
      </c>
      <c r="D364" s="24" t="n">
        <v>1.75</v>
      </c>
      <c r="E364" s="8" t="s">
        <v>798</v>
      </c>
      <c r="F364" s="5" t="s">
        <v>802</v>
      </c>
    </row>
    <row r="365" customFormat="false" ht="15" hidden="false" customHeight="false" outlineLevel="0" collapsed="false">
      <c r="A365" s="8"/>
      <c r="B365" s="8"/>
      <c r="C365" s="5" t="s">
        <v>837</v>
      </c>
      <c r="D365" s="24" t="n">
        <v>176</v>
      </c>
      <c r="E365" s="8" t="s">
        <v>796</v>
      </c>
      <c r="F365" s="5" t="s">
        <v>800</v>
      </c>
    </row>
    <row r="366" customFormat="false" ht="15" hidden="false" customHeight="false" outlineLevel="0" collapsed="false">
      <c r="A366" s="8"/>
      <c r="B366" s="8"/>
      <c r="C366" s="5" t="s">
        <v>537</v>
      </c>
      <c r="D366" s="24" t="n">
        <v>480</v>
      </c>
      <c r="E366" s="8" t="s">
        <v>796</v>
      </c>
      <c r="F366" s="5"/>
    </row>
    <row r="367" customFormat="false" ht="15" hidden="false" customHeight="false" outlineLevel="0" collapsed="false">
      <c r="A367" s="8"/>
      <c r="B367" s="8"/>
      <c r="C367" s="5" t="s">
        <v>545</v>
      </c>
      <c r="D367" s="24" t="n">
        <v>80</v>
      </c>
      <c r="E367" s="8" t="s">
        <v>796</v>
      </c>
      <c r="F367" s="5"/>
    </row>
    <row r="368" customFormat="false" ht="15" hidden="false" customHeight="false" outlineLevel="0" collapsed="false">
      <c r="A368" s="8"/>
      <c r="B368" s="8"/>
      <c r="C368" s="5" t="s">
        <v>818</v>
      </c>
      <c r="D368" s="24" t="n">
        <v>65</v>
      </c>
      <c r="E368" s="8" t="s">
        <v>796</v>
      </c>
      <c r="F368" s="5" t="s">
        <v>802</v>
      </c>
    </row>
    <row r="369" customFormat="false" ht="15" hidden="false" customHeight="false" outlineLevel="0" collapsed="false">
      <c r="A369" s="8"/>
      <c r="B369" s="8"/>
      <c r="C369" s="5" t="s">
        <v>573</v>
      </c>
      <c r="D369" s="24" t="n">
        <v>1.21</v>
      </c>
      <c r="E369" s="8" t="s">
        <v>798</v>
      </c>
      <c r="F369" s="5"/>
    </row>
    <row r="370" customFormat="false" ht="15" hidden="false" customHeight="false" outlineLevel="0" collapsed="false">
      <c r="A370" s="8"/>
      <c r="B370" s="8"/>
      <c r="C370" s="5" t="s">
        <v>651</v>
      </c>
      <c r="D370" s="24" t="n">
        <v>30</v>
      </c>
      <c r="E370" s="8" t="s">
        <v>796</v>
      </c>
      <c r="F370" s="5"/>
    </row>
    <row r="371" customFormat="false" ht="15" hidden="false" customHeight="false" outlineLevel="0" collapsed="false">
      <c r="A371" s="8"/>
      <c r="B371" s="8"/>
      <c r="C371" s="5" t="s">
        <v>695</v>
      </c>
      <c r="D371" s="24" t="n">
        <v>30</v>
      </c>
      <c r="E371" s="8" t="s">
        <v>796</v>
      </c>
      <c r="F371" s="5" t="s">
        <v>797</v>
      </c>
    </row>
    <row r="372" customFormat="false" ht="15" hidden="false" customHeight="false" outlineLevel="0" collapsed="false">
      <c r="A372" s="8"/>
      <c r="B372" s="8"/>
      <c r="C372" s="5" t="s">
        <v>819</v>
      </c>
      <c r="D372" s="24" t="n">
        <v>313</v>
      </c>
      <c r="E372" s="8" t="s">
        <v>796</v>
      </c>
      <c r="F372" s="5" t="s">
        <v>800</v>
      </c>
    </row>
    <row r="373" customFormat="false" ht="15" hidden="false" customHeight="false" outlineLevel="0" collapsed="false">
      <c r="A373" s="8"/>
      <c r="B373" s="8"/>
      <c r="C373" s="5" t="s">
        <v>820</v>
      </c>
      <c r="D373" s="24" t="n">
        <v>550</v>
      </c>
      <c r="E373" s="8" t="s">
        <v>796</v>
      </c>
      <c r="F373" s="5" t="s">
        <v>802</v>
      </c>
    </row>
    <row r="374" customFormat="false" ht="15" hidden="false" customHeight="false" outlineLevel="0" collapsed="false">
      <c r="A374" s="8"/>
      <c r="B374" s="8"/>
      <c r="C374" s="5" t="s">
        <v>828</v>
      </c>
      <c r="D374" s="24" t="n">
        <v>418</v>
      </c>
      <c r="E374" s="8" t="s">
        <v>796</v>
      </c>
      <c r="F374" s="5" t="s">
        <v>802</v>
      </c>
    </row>
    <row r="375" customFormat="false" ht="15" hidden="false" customHeight="false" outlineLevel="0" collapsed="false">
      <c r="A375" s="3"/>
      <c r="B375" s="3"/>
      <c r="C375" s="15" t="s">
        <v>854</v>
      </c>
      <c r="D375" s="3"/>
      <c r="E375" s="3"/>
      <c r="F375" s="3"/>
    </row>
    <row r="377" customFormat="false" ht="15" hidden="false" customHeight="false" outlineLevel="0" collapsed="false">
      <c r="A377" s="8" t="n">
        <v>7</v>
      </c>
      <c r="B377" s="8" t="s">
        <v>855</v>
      </c>
      <c r="C377" s="5" t="s">
        <v>794</v>
      </c>
      <c r="D377" s="8" t="n">
        <v>5</v>
      </c>
      <c r="E377" s="8" t="s">
        <v>795</v>
      </c>
      <c r="F377" s="5"/>
    </row>
    <row r="378" customFormat="false" ht="15" hidden="false" customHeight="false" outlineLevel="0" collapsed="false">
      <c r="A378" s="8"/>
      <c r="B378" s="8"/>
      <c r="C378" s="5" t="s">
        <v>678</v>
      </c>
      <c r="D378" s="24" t="n">
        <v>300</v>
      </c>
      <c r="E378" s="8" t="s">
        <v>796</v>
      </c>
      <c r="F378" s="5" t="s">
        <v>797</v>
      </c>
    </row>
    <row r="379" customFormat="false" ht="15" hidden="false" customHeight="false" outlineLevel="0" collapsed="false">
      <c r="A379" s="8"/>
      <c r="B379" s="8"/>
      <c r="C379" s="5" t="s">
        <v>681</v>
      </c>
      <c r="D379" s="24" t="n">
        <v>200</v>
      </c>
      <c r="E379" s="8" t="s">
        <v>796</v>
      </c>
      <c r="F379" s="5" t="s">
        <v>797</v>
      </c>
    </row>
    <row r="380" customFormat="false" ht="15" hidden="false" customHeight="false" outlineLevel="0" collapsed="false">
      <c r="A380" s="8"/>
      <c r="B380" s="8"/>
      <c r="C380" s="5" t="s">
        <v>684</v>
      </c>
      <c r="D380" s="24" t="n">
        <v>370</v>
      </c>
      <c r="E380" s="8" t="s">
        <v>796</v>
      </c>
      <c r="F380" s="5" t="s">
        <v>797</v>
      </c>
    </row>
    <row r="381" customFormat="false" ht="15" hidden="false" customHeight="false" outlineLevel="0" collapsed="false">
      <c r="A381" s="8"/>
      <c r="B381" s="8"/>
      <c r="C381" s="5" t="s">
        <v>853</v>
      </c>
      <c r="D381" s="24" t="n">
        <v>583</v>
      </c>
      <c r="E381" s="8" t="s">
        <v>796</v>
      </c>
      <c r="F381" s="5" t="s">
        <v>802</v>
      </c>
    </row>
    <row r="382" customFormat="false" ht="15" hidden="false" customHeight="false" outlineLevel="0" collapsed="false">
      <c r="A382" s="8"/>
      <c r="B382" s="8"/>
      <c r="C382" s="5" t="s">
        <v>685</v>
      </c>
      <c r="D382" s="24" t="n">
        <v>240</v>
      </c>
      <c r="E382" s="8" t="s">
        <v>796</v>
      </c>
      <c r="F382" s="5"/>
    </row>
    <row r="383" customFormat="false" ht="15" hidden="false" customHeight="false" outlineLevel="0" collapsed="false">
      <c r="A383" s="8"/>
      <c r="B383" s="8"/>
      <c r="C383" s="5" t="s">
        <v>669</v>
      </c>
      <c r="D383" s="24" t="n">
        <v>40</v>
      </c>
      <c r="E383" s="8" t="s">
        <v>796</v>
      </c>
      <c r="F383" s="5"/>
    </row>
    <row r="384" customFormat="false" ht="15" hidden="false" customHeight="false" outlineLevel="0" collapsed="false">
      <c r="A384" s="8"/>
      <c r="B384" s="8"/>
      <c r="C384" s="5" t="s">
        <v>561</v>
      </c>
      <c r="D384" s="24" t="n">
        <v>50</v>
      </c>
      <c r="E384" s="8" t="s">
        <v>796</v>
      </c>
      <c r="F384" s="5"/>
    </row>
    <row r="385" customFormat="false" ht="15" hidden="false" customHeight="false" outlineLevel="0" collapsed="false">
      <c r="A385" s="8"/>
      <c r="B385" s="8"/>
      <c r="C385" s="5" t="s">
        <v>641</v>
      </c>
      <c r="D385" s="24" t="n">
        <v>1.88</v>
      </c>
      <c r="E385" s="8" t="s">
        <v>798</v>
      </c>
      <c r="F385" s="5"/>
    </row>
    <row r="386" customFormat="false" ht="15" hidden="false" customHeight="false" outlineLevel="0" collapsed="false">
      <c r="A386" s="8"/>
      <c r="B386" s="8"/>
      <c r="C386" s="5" t="s">
        <v>799</v>
      </c>
      <c r="D386" s="24" t="n">
        <v>154</v>
      </c>
      <c r="E386" s="8" t="s">
        <v>796</v>
      </c>
      <c r="F386" s="5" t="s">
        <v>800</v>
      </c>
    </row>
    <row r="387" customFormat="false" ht="15" hidden="false" customHeight="false" outlineLevel="0" collapsed="false">
      <c r="A387" s="8"/>
      <c r="B387" s="8"/>
      <c r="C387" s="5" t="s">
        <v>640</v>
      </c>
      <c r="D387" s="24" t="n">
        <v>300</v>
      </c>
      <c r="E387" s="8" t="s">
        <v>796</v>
      </c>
      <c r="F387" s="5"/>
    </row>
    <row r="388" customFormat="false" ht="15" hidden="false" customHeight="false" outlineLevel="0" collapsed="false">
      <c r="A388" s="8"/>
      <c r="B388" s="8"/>
      <c r="C388" s="5" t="s">
        <v>804</v>
      </c>
      <c r="D388" s="24" t="n">
        <v>234</v>
      </c>
      <c r="E388" s="8" t="s">
        <v>796</v>
      </c>
      <c r="F388" s="5" t="s">
        <v>802</v>
      </c>
    </row>
    <row r="389" customFormat="false" ht="15" hidden="false" customHeight="false" outlineLevel="0" collapsed="false">
      <c r="A389" s="8"/>
      <c r="B389" s="8"/>
      <c r="C389" s="5" t="s">
        <v>514</v>
      </c>
      <c r="D389" s="24" t="n">
        <v>10</v>
      </c>
      <c r="E389" s="8" t="s">
        <v>796</v>
      </c>
      <c r="F389" s="5"/>
    </row>
    <row r="390" customFormat="false" ht="15" hidden="false" customHeight="false" outlineLevel="0" collapsed="false">
      <c r="A390" s="8"/>
      <c r="B390" s="8"/>
      <c r="C390" s="5" t="s">
        <v>805</v>
      </c>
      <c r="D390" s="24" t="n">
        <v>140</v>
      </c>
      <c r="E390" s="8" t="s">
        <v>796</v>
      </c>
      <c r="F390" s="5" t="s">
        <v>800</v>
      </c>
    </row>
    <row r="391" customFormat="false" ht="15" hidden="false" customHeight="false" outlineLevel="0" collapsed="false">
      <c r="A391" s="8"/>
      <c r="B391" s="8"/>
      <c r="C391" s="5" t="s">
        <v>510</v>
      </c>
      <c r="D391" s="24" t="n">
        <v>25</v>
      </c>
      <c r="E391" s="8" t="s">
        <v>796</v>
      </c>
      <c r="F391" s="5"/>
    </row>
    <row r="392" customFormat="false" ht="15" hidden="false" customHeight="false" outlineLevel="0" collapsed="false">
      <c r="A392" s="8"/>
      <c r="B392" s="8"/>
      <c r="C392" s="5" t="s">
        <v>713</v>
      </c>
      <c r="D392" s="24" t="n">
        <v>40</v>
      </c>
      <c r="E392" s="8" t="s">
        <v>796</v>
      </c>
      <c r="F392" s="5"/>
    </row>
    <row r="393" customFormat="false" ht="15" hidden="false" customHeight="false" outlineLevel="0" collapsed="false">
      <c r="A393" s="8"/>
      <c r="B393" s="8"/>
      <c r="C393" s="5" t="s">
        <v>845</v>
      </c>
      <c r="D393" s="24" t="n">
        <v>80</v>
      </c>
      <c r="E393" s="8" t="s">
        <v>796</v>
      </c>
      <c r="F393" s="5"/>
    </row>
    <row r="394" customFormat="false" ht="15" hidden="false" customHeight="false" outlineLevel="0" collapsed="false">
      <c r="A394" s="8"/>
      <c r="B394" s="8"/>
      <c r="C394" s="5" t="s">
        <v>833</v>
      </c>
      <c r="D394" s="24" t="n">
        <v>85</v>
      </c>
      <c r="E394" s="8" t="s">
        <v>796</v>
      </c>
      <c r="F394" s="5"/>
    </row>
    <row r="395" customFormat="false" ht="15" hidden="false" customHeight="false" outlineLevel="0" collapsed="false">
      <c r="A395" s="8"/>
      <c r="B395" s="8"/>
      <c r="C395" s="5" t="s">
        <v>574</v>
      </c>
      <c r="D395" s="24" t="n">
        <v>130</v>
      </c>
      <c r="E395" s="8" t="s">
        <v>796</v>
      </c>
      <c r="F395" s="5"/>
    </row>
    <row r="396" customFormat="false" ht="15" hidden="false" customHeight="false" outlineLevel="0" collapsed="false">
      <c r="A396" s="8"/>
      <c r="B396" s="8"/>
      <c r="C396" s="5" t="s">
        <v>530</v>
      </c>
      <c r="D396" s="24" t="n">
        <v>110</v>
      </c>
      <c r="E396" s="8" t="s">
        <v>796</v>
      </c>
      <c r="F396" s="5"/>
    </row>
    <row r="397" customFormat="false" ht="15" hidden="false" customHeight="false" outlineLevel="0" collapsed="false">
      <c r="A397" s="8"/>
      <c r="B397" s="8"/>
      <c r="C397" s="5" t="s">
        <v>541</v>
      </c>
      <c r="D397" s="24" t="n">
        <v>2.83</v>
      </c>
      <c r="E397" s="8" t="s">
        <v>809</v>
      </c>
      <c r="F397" s="5"/>
    </row>
    <row r="398" customFormat="false" ht="15" hidden="false" customHeight="false" outlineLevel="0" collapsed="false">
      <c r="A398" s="8"/>
      <c r="B398" s="8"/>
      <c r="C398" s="5" t="s">
        <v>488</v>
      </c>
      <c r="D398" s="24" t="n">
        <v>340</v>
      </c>
      <c r="E398" s="8" t="s">
        <v>796</v>
      </c>
      <c r="F398" s="5"/>
    </row>
    <row r="399" customFormat="false" ht="15" hidden="false" customHeight="false" outlineLevel="0" collapsed="false">
      <c r="A399" s="8"/>
      <c r="B399" s="8"/>
      <c r="C399" s="5" t="s">
        <v>599</v>
      </c>
      <c r="D399" s="24" t="n">
        <v>120</v>
      </c>
      <c r="E399" s="8" t="s">
        <v>796</v>
      </c>
      <c r="F399" s="5"/>
    </row>
    <row r="400" customFormat="false" ht="15" hidden="false" customHeight="false" outlineLevel="0" collapsed="false">
      <c r="A400" s="8"/>
      <c r="B400" s="8"/>
      <c r="C400" s="5" t="s">
        <v>655</v>
      </c>
      <c r="D400" s="24" t="n">
        <v>150</v>
      </c>
      <c r="E400" s="8" t="s">
        <v>796</v>
      </c>
      <c r="F400" s="5"/>
    </row>
    <row r="401" customFormat="false" ht="15" hidden="false" customHeight="false" outlineLevel="0" collapsed="false">
      <c r="A401" s="8"/>
      <c r="B401" s="8"/>
      <c r="C401" s="5" t="s">
        <v>811</v>
      </c>
      <c r="D401" s="24" t="n">
        <v>658</v>
      </c>
      <c r="E401" s="8" t="s">
        <v>796</v>
      </c>
      <c r="F401" s="5" t="s">
        <v>802</v>
      </c>
    </row>
    <row r="402" customFormat="false" ht="15" hidden="false" customHeight="false" outlineLevel="0" collapsed="false">
      <c r="A402" s="8"/>
      <c r="B402" s="8"/>
      <c r="C402" s="5" t="s">
        <v>509</v>
      </c>
      <c r="D402" s="24" t="n">
        <v>45</v>
      </c>
      <c r="E402" s="8" t="s">
        <v>796</v>
      </c>
      <c r="F402" s="5"/>
    </row>
    <row r="403" customFormat="false" ht="15" hidden="false" customHeight="false" outlineLevel="0" collapsed="false">
      <c r="A403" s="8"/>
      <c r="B403" s="8"/>
      <c r="C403" s="5" t="s">
        <v>542</v>
      </c>
      <c r="D403" s="24" t="n">
        <v>460</v>
      </c>
      <c r="E403" s="8" t="s">
        <v>796</v>
      </c>
      <c r="F403" s="5"/>
    </row>
    <row r="404" customFormat="false" ht="15" hidden="false" customHeight="false" outlineLevel="0" collapsed="false">
      <c r="A404" s="8"/>
      <c r="B404" s="8"/>
      <c r="C404" s="5" t="s">
        <v>634</v>
      </c>
      <c r="D404" s="24" t="n">
        <v>1.21</v>
      </c>
      <c r="E404" s="8" t="s">
        <v>798</v>
      </c>
      <c r="F404" s="5"/>
    </row>
    <row r="405" customFormat="false" ht="15" hidden="false" customHeight="false" outlineLevel="0" collapsed="false">
      <c r="A405" s="8"/>
      <c r="B405" s="8"/>
      <c r="C405" s="5" t="s">
        <v>554</v>
      </c>
      <c r="D405" s="24" t="n">
        <v>130</v>
      </c>
      <c r="E405" s="8" t="s">
        <v>796</v>
      </c>
      <c r="F405" s="5"/>
    </row>
    <row r="406" customFormat="false" ht="15" hidden="false" customHeight="false" outlineLevel="0" collapsed="false">
      <c r="A406" s="8"/>
      <c r="B406" s="8"/>
      <c r="C406" s="5" t="s">
        <v>639</v>
      </c>
      <c r="D406" s="24" t="n">
        <v>130</v>
      </c>
      <c r="E406" s="8" t="s">
        <v>796</v>
      </c>
      <c r="F406" s="5"/>
    </row>
    <row r="407" customFormat="false" ht="15" hidden="false" customHeight="false" outlineLevel="0" collapsed="false">
      <c r="A407" s="8"/>
      <c r="B407" s="8"/>
      <c r="C407" s="5" t="s">
        <v>489</v>
      </c>
      <c r="D407" s="24" t="n">
        <v>168</v>
      </c>
      <c r="E407" s="8" t="s">
        <v>796</v>
      </c>
      <c r="F407" s="5"/>
    </row>
    <row r="408" customFormat="false" ht="15" hidden="false" customHeight="false" outlineLevel="0" collapsed="false">
      <c r="A408" s="8"/>
      <c r="B408" s="8"/>
      <c r="C408" s="5" t="s">
        <v>812</v>
      </c>
      <c r="D408" s="24" t="n">
        <v>407</v>
      </c>
      <c r="E408" s="8" t="s">
        <v>796</v>
      </c>
      <c r="F408" s="5" t="s">
        <v>802</v>
      </c>
    </row>
    <row r="409" customFormat="false" ht="15" hidden="false" customHeight="false" outlineLevel="0" collapsed="false">
      <c r="A409" s="8"/>
      <c r="B409" s="8"/>
      <c r="C409" s="5" t="s">
        <v>836</v>
      </c>
      <c r="D409" s="24" t="n">
        <v>257</v>
      </c>
      <c r="E409" s="8" t="s">
        <v>796</v>
      </c>
      <c r="F409" s="5" t="s">
        <v>800</v>
      </c>
    </row>
    <row r="410" customFormat="false" ht="15" hidden="false" customHeight="false" outlineLevel="0" collapsed="false">
      <c r="A410" s="8"/>
      <c r="B410" s="8"/>
      <c r="C410" s="5" t="s">
        <v>500</v>
      </c>
      <c r="D410" s="24" t="n">
        <v>18</v>
      </c>
      <c r="E410" s="8" t="s">
        <v>796</v>
      </c>
      <c r="F410" s="5"/>
    </row>
    <row r="411" customFormat="false" ht="15" hidden="false" customHeight="false" outlineLevel="0" collapsed="false">
      <c r="A411" s="8"/>
      <c r="B411" s="8"/>
      <c r="C411" s="5" t="s">
        <v>498</v>
      </c>
      <c r="D411" s="24" t="n">
        <v>230</v>
      </c>
      <c r="E411" s="8" t="s">
        <v>796</v>
      </c>
      <c r="F411" s="5"/>
    </row>
    <row r="412" customFormat="false" ht="15" hidden="false" customHeight="false" outlineLevel="0" collapsed="false">
      <c r="A412" s="8"/>
      <c r="B412" s="8"/>
      <c r="C412" s="5" t="s">
        <v>813</v>
      </c>
      <c r="D412" s="24" t="n">
        <v>315</v>
      </c>
      <c r="E412" s="8" t="s">
        <v>796</v>
      </c>
      <c r="F412" s="5" t="s">
        <v>800</v>
      </c>
    </row>
    <row r="413" customFormat="false" ht="15" hidden="false" customHeight="false" outlineLevel="0" collapsed="false">
      <c r="A413" s="8"/>
      <c r="B413" s="8"/>
      <c r="C413" s="5" t="s">
        <v>607</v>
      </c>
      <c r="D413" s="24" t="n">
        <v>210</v>
      </c>
      <c r="E413" s="8" t="s">
        <v>796</v>
      </c>
      <c r="F413" s="5"/>
    </row>
    <row r="414" customFormat="false" ht="15" hidden="false" customHeight="false" outlineLevel="0" collapsed="false">
      <c r="A414" s="8"/>
      <c r="B414" s="8"/>
      <c r="C414" s="5" t="s">
        <v>548</v>
      </c>
      <c r="D414" s="24" t="n">
        <v>150</v>
      </c>
      <c r="E414" s="8" t="s">
        <v>796</v>
      </c>
      <c r="F414" s="5"/>
    </row>
    <row r="415" customFormat="false" ht="15" hidden="false" customHeight="false" outlineLevel="0" collapsed="false">
      <c r="A415" s="8"/>
      <c r="B415" s="8"/>
      <c r="C415" s="5" t="s">
        <v>689</v>
      </c>
      <c r="D415" s="24" t="n">
        <v>220</v>
      </c>
      <c r="E415" s="8" t="s">
        <v>796</v>
      </c>
      <c r="F415" s="5"/>
    </row>
    <row r="416" customFormat="false" ht="15" hidden="false" customHeight="false" outlineLevel="0" collapsed="false">
      <c r="A416" s="8"/>
      <c r="B416" s="8"/>
      <c r="C416" s="5" t="s">
        <v>815</v>
      </c>
      <c r="D416" s="24" t="n">
        <v>266</v>
      </c>
      <c r="E416" s="8" t="s">
        <v>796</v>
      </c>
      <c r="F416" s="5" t="s">
        <v>802</v>
      </c>
    </row>
    <row r="417" customFormat="false" ht="15" hidden="false" customHeight="false" outlineLevel="0" collapsed="false">
      <c r="A417" s="8"/>
      <c r="B417" s="8"/>
      <c r="C417" s="5" t="s">
        <v>825</v>
      </c>
      <c r="D417" s="24" t="n">
        <v>344</v>
      </c>
      <c r="E417" s="8" t="s">
        <v>796</v>
      </c>
      <c r="F417" s="5" t="s">
        <v>802</v>
      </c>
    </row>
    <row r="418" customFormat="false" ht="15" hidden="false" customHeight="false" outlineLevel="0" collapsed="false">
      <c r="A418" s="8"/>
      <c r="B418" s="8"/>
      <c r="C418" s="5" t="s">
        <v>708</v>
      </c>
      <c r="D418" s="24" t="n">
        <v>0.94</v>
      </c>
      <c r="E418" s="8" t="s">
        <v>809</v>
      </c>
      <c r="F418" s="5"/>
    </row>
    <row r="419" customFormat="false" ht="15" hidden="false" customHeight="false" outlineLevel="0" collapsed="false">
      <c r="A419" s="8"/>
      <c r="B419" s="8"/>
      <c r="C419" s="5" t="s">
        <v>638</v>
      </c>
      <c r="D419" s="24" t="n">
        <v>680</v>
      </c>
      <c r="E419" s="8" t="s">
        <v>796</v>
      </c>
      <c r="F419" s="5"/>
    </row>
    <row r="420" customFormat="false" ht="15" hidden="false" customHeight="false" outlineLevel="0" collapsed="false">
      <c r="A420" s="8"/>
      <c r="B420" s="8"/>
      <c r="C420" s="5" t="s">
        <v>536</v>
      </c>
      <c r="D420" s="24" t="n">
        <v>100</v>
      </c>
      <c r="E420" s="8" t="s">
        <v>796</v>
      </c>
      <c r="F420" s="5"/>
    </row>
    <row r="421" customFormat="false" ht="15" hidden="false" customHeight="false" outlineLevel="0" collapsed="false">
      <c r="A421" s="8"/>
      <c r="B421" s="8"/>
      <c r="C421" s="5" t="s">
        <v>537</v>
      </c>
      <c r="D421" s="24" t="n">
        <v>320</v>
      </c>
      <c r="E421" s="8" t="s">
        <v>796</v>
      </c>
      <c r="F421" s="5"/>
    </row>
    <row r="422" customFormat="false" ht="15" hidden="false" customHeight="false" outlineLevel="0" collapsed="false">
      <c r="A422" s="8"/>
      <c r="B422" s="8"/>
      <c r="C422" s="5" t="s">
        <v>508</v>
      </c>
      <c r="D422" s="24" t="n">
        <v>270</v>
      </c>
      <c r="E422" s="8" t="s">
        <v>796</v>
      </c>
      <c r="F422" s="5"/>
    </row>
    <row r="423" customFormat="false" ht="15" hidden="false" customHeight="false" outlineLevel="0" collapsed="false">
      <c r="A423" s="8"/>
      <c r="B423" s="8"/>
      <c r="C423" s="5" t="s">
        <v>552</v>
      </c>
      <c r="D423" s="24" t="n">
        <v>240</v>
      </c>
      <c r="E423" s="8" t="s">
        <v>796</v>
      </c>
      <c r="F423" s="5"/>
    </row>
    <row r="424" customFormat="false" ht="15" hidden="false" customHeight="false" outlineLevel="0" collapsed="false">
      <c r="A424" s="8"/>
      <c r="B424" s="8"/>
      <c r="C424" s="5" t="s">
        <v>528</v>
      </c>
      <c r="D424" s="24" t="n">
        <v>310</v>
      </c>
      <c r="E424" s="8" t="s">
        <v>796</v>
      </c>
      <c r="F424" s="5"/>
    </row>
    <row r="425" customFormat="false" ht="15" hidden="false" customHeight="false" outlineLevel="0" collapsed="false">
      <c r="A425" s="8"/>
      <c r="B425" s="8"/>
      <c r="C425" s="5" t="s">
        <v>818</v>
      </c>
      <c r="D425" s="24" t="n">
        <v>338</v>
      </c>
      <c r="E425" s="8" t="s">
        <v>796</v>
      </c>
      <c r="F425" s="5" t="s">
        <v>802</v>
      </c>
    </row>
    <row r="426" customFormat="false" ht="15" hidden="false" customHeight="false" outlineLevel="0" collapsed="false">
      <c r="A426" s="8"/>
      <c r="B426" s="8"/>
      <c r="C426" s="5" t="s">
        <v>651</v>
      </c>
      <c r="D426" s="24" t="n">
        <v>15</v>
      </c>
      <c r="E426" s="8" t="s">
        <v>796</v>
      </c>
      <c r="F426" s="5"/>
    </row>
    <row r="427" customFormat="false" ht="15" hidden="false" customHeight="false" outlineLevel="0" collapsed="false">
      <c r="A427" s="8"/>
      <c r="B427" s="8"/>
      <c r="C427" s="5" t="s">
        <v>695</v>
      </c>
      <c r="D427" s="24" t="n">
        <v>60</v>
      </c>
      <c r="E427" s="8" t="s">
        <v>796</v>
      </c>
      <c r="F427" s="5" t="s">
        <v>797</v>
      </c>
    </row>
    <row r="428" customFormat="false" ht="15" hidden="false" customHeight="false" outlineLevel="0" collapsed="false">
      <c r="A428" s="8"/>
      <c r="B428" s="8"/>
      <c r="C428" s="5" t="s">
        <v>819</v>
      </c>
      <c r="D428" s="24" t="n">
        <v>969</v>
      </c>
      <c r="E428" s="8" t="s">
        <v>796</v>
      </c>
      <c r="F428" s="5" t="s">
        <v>800</v>
      </c>
    </row>
    <row r="429" customFormat="false" ht="15" hidden="false" customHeight="false" outlineLevel="0" collapsed="false">
      <c r="A429" s="8"/>
      <c r="B429" s="8"/>
      <c r="C429" s="5" t="s">
        <v>820</v>
      </c>
      <c r="D429" s="24" t="n">
        <v>1.56</v>
      </c>
      <c r="E429" s="8" t="s">
        <v>798</v>
      </c>
      <c r="F429" s="5" t="s">
        <v>802</v>
      </c>
    </row>
    <row r="430" customFormat="false" ht="15" hidden="false" customHeight="false" outlineLevel="0" collapsed="false">
      <c r="A430" s="8"/>
      <c r="B430" s="8"/>
      <c r="C430" s="5" t="s">
        <v>549</v>
      </c>
      <c r="D430" s="24" t="n">
        <v>95</v>
      </c>
      <c r="E430" s="8" t="s">
        <v>796</v>
      </c>
      <c r="F430" s="5"/>
    </row>
    <row r="431" customFormat="false" ht="15" hidden="false" customHeight="false" outlineLevel="0" collapsed="false">
      <c r="A431" s="8"/>
      <c r="B431" s="8"/>
      <c r="C431" s="5" t="s">
        <v>840</v>
      </c>
      <c r="D431" s="24" t="n">
        <v>262</v>
      </c>
      <c r="E431" s="8" t="s">
        <v>796</v>
      </c>
      <c r="F431" s="5" t="s">
        <v>802</v>
      </c>
    </row>
    <row r="432" customFormat="false" ht="15" hidden="false" customHeight="false" outlineLevel="0" collapsed="false">
      <c r="A432" s="8"/>
      <c r="B432" s="8"/>
      <c r="C432" s="5" t="s">
        <v>829</v>
      </c>
      <c r="D432" s="24" t="n">
        <v>150</v>
      </c>
      <c r="E432" s="8" t="s">
        <v>796</v>
      </c>
      <c r="F432" s="5"/>
    </row>
    <row r="433" customFormat="false" ht="15" hidden="false" customHeight="false" outlineLevel="0" collapsed="false">
      <c r="A433" s="3"/>
      <c r="B433" s="3"/>
      <c r="C433" s="15" t="s">
        <v>856</v>
      </c>
      <c r="D433" s="3"/>
      <c r="E433" s="3"/>
      <c r="F433" s="3"/>
    </row>
    <row r="435" customFormat="false" ht="15" hidden="false" customHeight="false" outlineLevel="0" collapsed="false">
      <c r="A435" s="8" t="n">
        <v>8</v>
      </c>
      <c r="B435" s="8" t="s">
        <v>857</v>
      </c>
      <c r="C435" s="5" t="s">
        <v>794</v>
      </c>
      <c r="D435" s="8" t="n">
        <v>5</v>
      </c>
      <c r="E435" s="8" t="s">
        <v>795</v>
      </c>
      <c r="F435" s="5"/>
    </row>
    <row r="436" customFormat="false" ht="15" hidden="false" customHeight="false" outlineLevel="0" collapsed="false">
      <c r="A436" s="8"/>
      <c r="B436" s="8"/>
      <c r="C436" s="5" t="s">
        <v>678</v>
      </c>
      <c r="D436" s="24" t="n">
        <v>200</v>
      </c>
      <c r="E436" s="8" t="s">
        <v>796</v>
      </c>
      <c r="F436" s="5" t="s">
        <v>797</v>
      </c>
    </row>
    <row r="437" customFormat="false" ht="15" hidden="false" customHeight="false" outlineLevel="0" collapsed="false">
      <c r="A437" s="8"/>
      <c r="B437" s="8"/>
      <c r="C437" s="5" t="s">
        <v>681</v>
      </c>
      <c r="D437" s="24" t="n">
        <v>300</v>
      </c>
      <c r="E437" s="8" t="s">
        <v>796</v>
      </c>
      <c r="F437" s="5" t="s">
        <v>797</v>
      </c>
    </row>
    <row r="438" customFormat="false" ht="15" hidden="false" customHeight="false" outlineLevel="0" collapsed="false">
      <c r="A438" s="8"/>
      <c r="B438" s="8"/>
      <c r="C438" s="5" t="s">
        <v>684</v>
      </c>
      <c r="D438" s="24" t="n">
        <v>295</v>
      </c>
      <c r="E438" s="8" t="s">
        <v>796</v>
      </c>
      <c r="F438" s="5" t="s">
        <v>797</v>
      </c>
    </row>
    <row r="439" customFormat="false" ht="15" hidden="false" customHeight="false" outlineLevel="0" collapsed="false">
      <c r="A439" s="8"/>
      <c r="B439" s="8"/>
      <c r="C439" s="5" t="s">
        <v>853</v>
      </c>
      <c r="D439" s="24" t="n">
        <v>484</v>
      </c>
      <c r="E439" s="8" t="s">
        <v>796</v>
      </c>
      <c r="F439" s="5" t="s">
        <v>802</v>
      </c>
    </row>
    <row r="440" customFormat="false" ht="15" hidden="false" customHeight="false" outlineLevel="0" collapsed="false">
      <c r="A440" s="8"/>
      <c r="B440" s="8"/>
      <c r="C440" s="5" t="s">
        <v>535</v>
      </c>
      <c r="D440" s="24" t="n">
        <v>460</v>
      </c>
      <c r="E440" s="8" t="s">
        <v>796</v>
      </c>
      <c r="F440" s="5" t="s">
        <v>802</v>
      </c>
    </row>
    <row r="441" customFormat="false" ht="15" hidden="false" customHeight="false" outlineLevel="0" collapsed="false">
      <c r="A441" s="8"/>
      <c r="B441" s="8"/>
      <c r="C441" s="5" t="s">
        <v>685</v>
      </c>
      <c r="D441" s="24" t="n">
        <v>240</v>
      </c>
      <c r="E441" s="8" t="s">
        <v>796</v>
      </c>
      <c r="F441" s="5"/>
    </row>
    <row r="442" customFormat="false" ht="15" hidden="false" customHeight="false" outlineLevel="0" collapsed="false">
      <c r="A442" s="8"/>
      <c r="B442" s="8"/>
      <c r="C442" s="5" t="s">
        <v>669</v>
      </c>
      <c r="D442" s="24" t="n">
        <v>65</v>
      </c>
      <c r="E442" s="8" t="s">
        <v>796</v>
      </c>
      <c r="F442" s="5"/>
    </row>
    <row r="443" customFormat="false" ht="15" hidden="false" customHeight="false" outlineLevel="0" collapsed="false">
      <c r="A443" s="8"/>
      <c r="B443" s="8"/>
      <c r="C443" s="5" t="s">
        <v>668</v>
      </c>
      <c r="D443" s="24" t="n">
        <v>150</v>
      </c>
      <c r="E443" s="8" t="s">
        <v>796</v>
      </c>
      <c r="F443" s="5"/>
    </row>
    <row r="444" customFormat="false" ht="15" hidden="false" customHeight="false" outlineLevel="0" collapsed="false">
      <c r="A444" s="8"/>
      <c r="B444" s="8"/>
      <c r="C444" s="5" t="s">
        <v>561</v>
      </c>
      <c r="D444" s="24" t="n">
        <v>80</v>
      </c>
      <c r="E444" s="8" t="s">
        <v>796</v>
      </c>
      <c r="F444" s="5"/>
    </row>
    <row r="445" customFormat="false" ht="15" hidden="false" customHeight="false" outlineLevel="0" collapsed="false">
      <c r="A445" s="8"/>
      <c r="B445" s="8"/>
      <c r="C445" s="5" t="s">
        <v>641</v>
      </c>
      <c r="D445" s="24" t="n">
        <v>2.35</v>
      </c>
      <c r="E445" s="8" t="s">
        <v>798</v>
      </c>
      <c r="F445" s="5"/>
    </row>
    <row r="446" customFormat="false" ht="15" hidden="false" customHeight="false" outlineLevel="0" collapsed="false">
      <c r="A446" s="8"/>
      <c r="B446" s="8"/>
      <c r="C446" s="5" t="s">
        <v>640</v>
      </c>
      <c r="D446" s="24" t="n">
        <v>500</v>
      </c>
      <c r="E446" s="8" t="s">
        <v>796</v>
      </c>
      <c r="F446" s="5"/>
    </row>
    <row r="447" customFormat="false" ht="15" hidden="false" customHeight="false" outlineLevel="0" collapsed="false">
      <c r="A447" s="8"/>
      <c r="B447" s="8"/>
      <c r="C447" s="5" t="s">
        <v>514</v>
      </c>
      <c r="D447" s="24" t="n">
        <v>30</v>
      </c>
      <c r="E447" s="8" t="s">
        <v>796</v>
      </c>
      <c r="F447" s="5"/>
    </row>
    <row r="448" customFormat="false" ht="15" hidden="false" customHeight="false" outlineLevel="0" collapsed="false">
      <c r="A448" s="8"/>
      <c r="B448" s="8"/>
      <c r="C448" s="5" t="s">
        <v>832</v>
      </c>
      <c r="D448" s="24" t="n">
        <v>220</v>
      </c>
      <c r="E448" s="8" t="s">
        <v>796</v>
      </c>
      <c r="F448" s="5" t="s">
        <v>802</v>
      </c>
    </row>
    <row r="449" customFormat="false" ht="15" hidden="false" customHeight="false" outlineLevel="0" collapsed="false">
      <c r="A449" s="8"/>
      <c r="B449" s="8"/>
      <c r="C449" s="5" t="s">
        <v>805</v>
      </c>
      <c r="D449" s="24" t="n">
        <v>176</v>
      </c>
      <c r="E449" s="8" t="s">
        <v>796</v>
      </c>
      <c r="F449" s="5" t="s">
        <v>800</v>
      </c>
    </row>
    <row r="450" customFormat="false" ht="15" hidden="false" customHeight="false" outlineLevel="0" collapsed="false">
      <c r="A450" s="8"/>
      <c r="B450" s="8"/>
      <c r="C450" s="5" t="s">
        <v>510</v>
      </c>
      <c r="D450" s="24" t="n">
        <v>45</v>
      </c>
      <c r="E450" s="8" t="s">
        <v>796</v>
      </c>
      <c r="F450" s="5"/>
    </row>
    <row r="451" customFormat="false" ht="15" hidden="false" customHeight="false" outlineLevel="0" collapsed="false">
      <c r="A451" s="8"/>
      <c r="B451" s="8"/>
      <c r="C451" s="5" t="s">
        <v>713</v>
      </c>
      <c r="D451" s="24" t="n">
        <v>40</v>
      </c>
      <c r="E451" s="8" t="s">
        <v>796</v>
      </c>
      <c r="F451" s="5"/>
    </row>
    <row r="452" customFormat="false" ht="15" hidden="false" customHeight="false" outlineLevel="0" collapsed="false">
      <c r="A452" s="8"/>
      <c r="B452" s="8"/>
      <c r="C452" s="5" t="s">
        <v>806</v>
      </c>
      <c r="D452" s="8" t="n">
        <v>4</v>
      </c>
      <c r="E452" s="8" t="s">
        <v>807</v>
      </c>
      <c r="F452" s="5" t="s">
        <v>808</v>
      </c>
    </row>
    <row r="453" customFormat="false" ht="15" hidden="false" customHeight="false" outlineLevel="0" collapsed="false">
      <c r="A453" s="8"/>
      <c r="B453" s="8"/>
      <c r="C453" s="5" t="s">
        <v>574</v>
      </c>
      <c r="D453" s="24" t="n">
        <v>60</v>
      </c>
      <c r="E453" s="8" t="s">
        <v>796</v>
      </c>
      <c r="F453" s="5"/>
    </row>
    <row r="454" customFormat="false" ht="15" hidden="false" customHeight="false" outlineLevel="0" collapsed="false">
      <c r="A454" s="8"/>
      <c r="B454" s="8"/>
      <c r="C454" s="5" t="s">
        <v>834</v>
      </c>
      <c r="D454" s="24" t="n">
        <v>336</v>
      </c>
      <c r="E454" s="8" t="s">
        <v>796</v>
      </c>
      <c r="F454" s="5" t="s">
        <v>802</v>
      </c>
    </row>
    <row r="455" customFormat="false" ht="15" hidden="false" customHeight="false" outlineLevel="0" collapsed="false">
      <c r="A455" s="8"/>
      <c r="B455" s="8"/>
      <c r="C455" s="5" t="s">
        <v>540</v>
      </c>
      <c r="D455" s="24" t="n">
        <v>150</v>
      </c>
      <c r="E455" s="8" t="s">
        <v>796</v>
      </c>
      <c r="F455" s="5"/>
    </row>
    <row r="456" customFormat="false" ht="15" hidden="false" customHeight="false" outlineLevel="0" collapsed="false">
      <c r="A456" s="8"/>
      <c r="B456" s="8"/>
      <c r="C456" s="5" t="s">
        <v>592</v>
      </c>
      <c r="D456" s="24" t="n">
        <v>70</v>
      </c>
      <c r="E456" s="8" t="s">
        <v>796</v>
      </c>
      <c r="F456" s="5"/>
    </row>
    <row r="457" customFormat="false" ht="15" hidden="false" customHeight="false" outlineLevel="0" collapsed="false">
      <c r="A457" s="8"/>
      <c r="B457" s="8"/>
      <c r="C457" s="5" t="s">
        <v>530</v>
      </c>
      <c r="D457" s="24" t="n">
        <v>60</v>
      </c>
      <c r="E457" s="8" t="s">
        <v>796</v>
      </c>
      <c r="F457" s="5"/>
    </row>
    <row r="458" customFormat="false" ht="15" hidden="false" customHeight="false" outlineLevel="0" collapsed="false">
      <c r="A458" s="8"/>
      <c r="B458" s="8"/>
      <c r="C458" s="5" t="s">
        <v>541</v>
      </c>
      <c r="D458" s="24" t="n">
        <v>2.61</v>
      </c>
      <c r="E458" s="8" t="s">
        <v>809</v>
      </c>
      <c r="F458" s="5"/>
    </row>
    <row r="459" customFormat="false" ht="15" hidden="false" customHeight="false" outlineLevel="0" collapsed="false">
      <c r="A459" s="8"/>
      <c r="B459" s="8"/>
      <c r="C459" s="5" t="s">
        <v>488</v>
      </c>
      <c r="D459" s="24" t="n">
        <v>340</v>
      </c>
      <c r="E459" s="8" t="s">
        <v>796</v>
      </c>
      <c r="F459" s="5"/>
    </row>
    <row r="460" customFormat="false" ht="15" hidden="false" customHeight="false" outlineLevel="0" collapsed="false">
      <c r="A460" s="8"/>
      <c r="B460" s="8"/>
      <c r="C460" s="5" t="s">
        <v>835</v>
      </c>
      <c r="D460" s="24" t="n">
        <v>188</v>
      </c>
      <c r="E460" s="8" t="s">
        <v>796</v>
      </c>
      <c r="F460" s="5" t="s">
        <v>802</v>
      </c>
    </row>
    <row r="461" customFormat="false" ht="15" hidden="false" customHeight="false" outlineLevel="0" collapsed="false">
      <c r="A461" s="8"/>
      <c r="B461" s="8"/>
      <c r="C461" s="5" t="s">
        <v>858</v>
      </c>
      <c r="D461" s="24" t="n">
        <v>193</v>
      </c>
      <c r="E461" s="8" t="s">
        <v>796</v>
      </c>
      <c r="F461" s="5" t="s">
        <v>802</v>
      </c>
    </row>
    <row r="462" customFormat="false" ht="15" hidden="false" customHeight="false" outlineLevel="0" collapsed="false">
      <c r="A462" s="8"/>
      <c r="B462" s="8"/>
      <c r="C462" s="5" t="s">
        <v>811</v>
      </c>
      <c r="D462" s="24" t="n">
        <v>452</v>
      </c>
      <c r="E462" s="8" t="s">
        <v>796</v>
      </c>
      <c r="F462" s="5" t="s">
        <v>802</v>
      </c>
    </row>
    <row r="463" customFormat="false" ht="15" hidden="false" customHeight="false" outlineLevel="0" collapsed="false">
      <c r="A463" s="8"/>
      <c r="B463" s="8"/>
      <c r="C463" s="5" t="s">
        <v>509</v>
      </c>
      <c r="D463" s="24" t="n">
        <v>105</v>
      </c>
      <c r="E463" s="8" t="s">
        <v>796</v>
      </c>
      <c r="F463" s="5"/>
    </row>
    <row r="464" customFormat="false" ht="15" hidden="false" customHeight="false" outlineLevel="0" collapsed="false">
      <c r="A464" s="8"/>
      <c r="B464" s="8"/>
      <c r="C464" s="5" t="s">
        <v>542</v>
      </c>
      <c r="D464" s="24" t="n">
        <v>170</v>
      </c>
      <c r="E464" s="8" t="s">
        <v>796</v>
      </c>
      <c r="F464" s="5"/>
    </row>
    <row r="465" customFormat="false" ht="15" hidden="false" customHeight="false" outlineLevel="0" collapsed="false">
      <c r="A465" s="8"/>
      <c r="B465" s="8"/>
      <c r="C465" s="5" t="s">
        <v>847</v>
      </c>
      <c r="D465" s="24" t="n">
        <v>112</v>
      </c>
      <c r="E465" s="8" t="s">
        <v>796</v>
      </c>
      <c r="F465" s="5" t="s">
        <v>802</v>
      </c>
    </row>
    <row r="466" customFormat="false" ht="15" hidden="false" customHeight="false" outlineLevel="0" collapsed="false">
      <c r="A466" s="8"/>
      <c r="B466" s="8"/>
      <c r="C466" s="5" t="s">
        <v>634</v>
      </c>
      <c r="D466" s="24" t="n">
        <v>1.09</v>
      </c>
      <c r="E466" s="8" t="s">
        <v>798</v>
      </c>
      <c r="F466" s="5"/>
    </row>
    <row r="467" customFormat="false" ht="15" hidden="false" customHeight="false" outlineLevel="0" collapsed="false">
      <c r="A467" s="8"/>
      <c r="B467" s="8"/>
      <c r="C467" s="5" t="s">
        <v>554</v>
      </c>
      <c r="D467" s="24" t="n">
        <v>130</v>
      </c>
      <c r="E467" s="8" t="s">
        <v>796</v>
      </c>
      <c r="F467" s="5"/>
    </row>
    <row r="468" customFormat="false" ht="15" hidden="false" customHeight="false" outlineLevel="0" collapsed="false">
      <c r="A468" s="8"/>
      <c r="B468" s="8"/>
      <c r="C468" s="5" t="s">
        <v>639</v>
      </c>
      <c r="D468" s="24" t="n">
        <v>250</v>
      </c>
      <c r="E468" s="8" t="s">
        <v>796</v>
      </c>
      <c r="F468" s="5"/>
    </row>
    <row r="469" customFormat="false" ht="15" hidden="false" customHeight="false" outlineLevel="0" collapsed="false">
      <c r="A469" s="8"/>
      <c r="B469" s="8"/>
      <c r="C469" s="5" t="s">
        <v>489</v>
      </c>
      <c r="D469" s="24" t="n">
        <v>129</v>
      </c>
      <c r="E469" s="8" t="s">
        <v>796</v>
      </c>
      <c r="F469" s="5"/>
    </row>
    <row r="470" customFormat="false" ht="15" hidden="false" customHeight="false" outlineLevel="0" collapsed="false">
      <c r="A470" s="8"/>
      <c r="B470" s="8"/>
      <c r="C470" s="5" t="s">
        <v>812</v>
      </c>
      <c r="D470" s="24" t="n">
        <v>330</v>
      </c>
      <c r="E470" s="8" t="s">
        <v>796</v>
      </c>
      <c r="F470" s="5" t="s">
        <v>802</v>
      </c>
    </row>
    <row r="471" customFormat="false" ht="15" hidden="false" customHeight="false" outlineLevel="0" collapsed="false">
      <c r="A471" s="8"/>
      <c r="B471" s="8"/>
      <c r="C471" s="5" t="s">
        <v>500</v>
      </c>
      <c r="D471" s="24" t="n">
        <v>20</v>
      </c>
      <c r="E471" s="8" t="s">
        <v>796</v>
      </c>
      <c r="F471" s="5"/>
    </row>
    <row r="472" customFormat="false" ht="15" hidden="false" customHeight="false" outlineLevel="0" collapsed="false">
      <c r="A472" s="8"/>
      <c r="B472" s="8"/>
      <c r="C472" s="5" t="s">
        <v>498</v>
      </c>
      <c r="D472" s="24" t="n">
        <v>160</v>
      </c>
      <c r="E472" s="8" t="s">
        <v>796</v>
      </c>
      <c r="F472" s="5"/>
    </row>
    <row r="473" customFormat="false" ht="15" hidden="false" customHeight="false" outlineLevel="0" collapsed="false">
      <c r="A473" s="8"/>
      <c r="B473" s="8"/>
      <c r="C473" s="5" t="s">
        <v>813</v>
      </c>
      <c r="D473" s="24" t="n">
        <v>176</v>
      </c>
      <c r="E473" s="8" t="s">
        <v>796</v>
      </c>
      <c r="F473" s="5" t="s">
        <v>800</v>
      </c>
    </row>
    <row r="474" customFormat="false" ht="15" hidden="false" customHeight="false" outlineLevel="0" collapsed="false">
      <c r="A474" s="8"/>
      <c r="B474" s="8"/>
      <c r="C474" s="5" t="s">
        <v>607</v>
      </c>
      <c r="D474" s="24" t="n">
        <v>170</v>
      </c>
      <c r="E474" s="8" t="s">
        <v>796</v>
      </c>
      <c r="F474" s="5"/>
    </row>
    <row r="475" customFormat="false" ht="15" hidden="false" customHeight="false" outlineLevel="0" collapsed="false">
      <c r="A475" s="8"/>
      <c r="B475" s="8"/>
      <c r="C475" s="5" t="s">
        <v>626</v>
      </c>
      <c r="D475" s="24" t="n">
        <v>55</v>
      </c>
      <c r="E475" s="8" t="s">
        <v>796</v>
      </c>
      <c r="F475" s="5"/>
    </row>
    <row r="476" customFormat="false" ht="15" hidden="false" customHeight="false" outlineLevel="0" collapsed="false">
      <c r="A476" s="8"/>
      <c r="B476" s="8"/>
      <c r="C476" s="5" t="s">
        <v>814</v>
      </c>
      <c r="D476" s="24" t="n">
        <v>238</v>
      </c>
      <c r="E476" s="8" t="s">
        <v>796</v>
      </c>
      <c r="F476" s="5" t="s">
        <v>800</v>
      </c>
    </row>
    <row r="477" customFormat="false" ht="15" hidden="false" customHeight="false" outlineLevel="0" collapsed="false">
      <c r="A477" s="8"/>
      <c r="B477" s="8"/>
      <c r="C477" s="5" t="s">
        <v>689</v>
      </c>
      <c r="D477" s="24" t="n">
        <v>220</v>
      </c>
      <c r="E477" s="8" t="s">
        <v>796</v>
      </c>
      <c r="F477" s="5"/>
    </row>
    <row r="478" customFormat="false" ht="15" hidden="false" customHeight="false" outlineLevel="0" collapsed="false">
      <c r="A478" s="8"/>
      <c r="B478" s="8"/>
      <c r="C478" s="5" t="s">
        <v>526</v>
      </c>
      <c r="D478" s="24" t="n">
        <v>330</v>
      </c>
      <c r="E478" s="8" t="s">
        <v>796</v>
      </c>
      <c r="F478" s="5"/>
    </row>
    <row r="479" customFormat="false" ht="15" hidden="false" customHeight="false" outlineLevel="0" collapsed="false">
      <c r="A479" s="8"/>
      <c r="B479" s="8"/>
      <c r="C479" s="5" t="s">
        <v>815</v>
      </c>
      <c r="D479" s="24" t="n">
        <v>325</v>
      </c>
      <c r="E479" s="8" t="s">
        <v>796</v>
      </c>
      <c r="F479" s="5" t="s">
        <v>802</v>
      </c>
    </row>
    <row r="480" customFormat="false" ht="15" hidden="false" customHeight="false" outlineLevel="0" collapsed="false">
      <c r="A480" s="8"/>
      <c r="B480" s="8"/>
      <c r="C480" s="5" t="s">
        <v>708</v>
      </c>
      <c r="D480" s="24" t="n">
        <v>0.52</v>
      </c>
      <c r="E480" s="8" t="s">
        <v>809</v>
      </c>
      <c r="F480" s="5"/>
    </row>
    <row r="481" customFormat="false" ht="15" hidden="false" customHeight="false" outlineLevel="0" collapsed="false">
      <c r="A481" s="8"/>
      <c r="B481" s="8"/>
      <c r="C481" s="5" t="s">
        <v>638</v>
      </c>
      <c r="D481" s="24" t="n">
        <v>915</v>
      </c>
      <c r="E481" s="8" t="s">
        <v>796</v>
      </c>
      <c r="F481" s="5"/>
    </row>
    <row r="482" customFormat="false" ht="15" hidden="false" customHeight="false" outlineLevel="0" collapsed="false">
      <c r="A482" s="8"/>
      <c r="B482" s="8"/>
      <c r="C482" s="5" t="s">
        <v>536</v>
      </c>
      <c r="D482" s="24" t="n">
        <v>160</v>
      </c>
      <c r="E482" s="8" t="s">
        <v>796</v>
      </c>
      <c r="F482" s="5"/>
    </row>
    <row r="483" customFormat="false" ht="15" hidden="false" customHeight="false" outlineLevel="0" collapsed="false">
      <c r="A483" s="8"/>
      <c r="B483" s="8"/>
      <c r="C483" s="5" t="s">
        <v>817</v>
      </c>
      <c r="D483" s="24" t="n">
        <v>187</v>
      </c>
      <c r="E483" s="8" t="s">
        <v>796</v>
      </c>
      <c r="F483" s="5" t="s">
        <v>802</v>
      </c>
    </row>
    <row r="484" customFormat="false" ht="15" hidden="false" customHeight="false" outlineLevel="0" collapsed="false">
      <c r="A484" s="8"/>
      <c r="B484" s="8"/>
      <c r="C484" s="5" t="s">
        <v>827</v>
      </c>
      <c r="D484" s="24" t="n">
        <v>700</v>
      </c>
      <c r="E484" s="8" t="s">
        <v>796</v>
      </c>
      <c r="F484" s="5" t="s">
        <v>802</v>
      </c>
    </row>
    <row r="485" customFormat="false" ht="15" hidden="false" customHeight="false" outlineLevel="0" collapsed="false">
      <c r="A485" s="8"/>
      <c r="B485" s="8"/>
      <c r="C485" s="5" t="s">
        <v>537</v>
      </c>
      <c r="D485" s="24" t="n">
        <v>240</v>
      </c>
      <c r="E485" s="8" t="s">
        <v>796</v>
      </c>
      <c r="F485" s="5"/>
    </row>
    <row r="486" customFormat="false" ht="15" hidden="false" customHeight="false" outlineLevel="0" collapsed="false">
      <c r="A486" s="8"/>
      <c r="B486" s="8"/>
      <c r="C486" s="5" t="s">
        <v>508</v>
      </c>
      <c r="D486" s="24" t="n">
        <v>150</v>
      </c>
      <c r="E486" s="8" t="s">
        <v>796</v>
      </c>
      <c r="F486" s="5"/>
    </row>
    <row r="487" customFormat="false" ht="15" hidden="false" customHeight="false" outlineLevel="0" collapsed="false">
      <c r="A487" s="8"/>
      <c r="B487" s="8"/>
      <c r="C487" s="5" t="s">
        <v>528</v>
      </c>
      <c r="D487" s="24" t="n">
        <v>310</v>
      </c>
      <c r="E487" s="8" t="s">
        <v>796</v>
      </c>
      <c r="F487" s="5"/>
    </row>
    <row r="488" customFormat="false" ht="15" hidden="false" customHeight="false" outlineLevel="0" collapsed="false">
      <c r="A488" s="8"/>
      <c r="B488" s="8"/>
      <c r="C488" s="5" t="s">
        <v>818</v>
      </c>
      <c r="D488" s="24" t="n">
        <v>65</v>
      </c>
      <c r="E488" s="8" t="s">
        <v>796</v>
      </c>
      <c r="F488" s="5" t="s">
        <v>802</v>
      </c>
    </row>
    <row r="489" customFormat="false" ht="15" hidden="false" customHeight="false" outlineLevel="0" collapsed="false">
      <c r="A489" s="8"/>
      <c r="B489" s="8"/>
      <c r="C489" s="5" t="s">
        <v>839</v>
      </c>
      <c r="D489" s="24" t="n">
        <v>135</v>
      </c>
      <c r="E489" s="8" t="s">
        <v>796</v>
      </c>
      <c r="F489" s="5"/>
    </row>
    <row r="490" customFormat="false" ht="15" hidden="false" customHeight="false" outlineLevel="0" collapsed="false">
      <c r="A490" s="8"/>
      <c r="B490" s="8"/>
      <c r="C490" s="5" t="s">
        <v>573</v>
      </c>
      <c r="D490" s="24" t="n">
        <v>820</v>
      </c>
      <c r="E490" s="8" t="s">
        <v>796</v>
      </c>
      <c r="F490" s="5"/>
    </row>
    <row r="491" customFormat="false" ht="15" hidden="false" customHeight="false" outlineLevel="0" collapsed="false">
      <c r="A491" s="8"/>
      <c r="B491" s="8"/>
      <c r="C491" s="5" t="s">
        <v>651</v>
      </c>
      <c r="D491" s="24" t="n">
        <v>15</v>
      </c>
      <c r="E491" s="8" t="s">
        <v>796</v>
      </c>
      <c r="F491" s="5"/>
    </row>
    <row r="492" customFormat="false" ht="15" hidden="false" customHeight="false" outlineLevel="0" collapsed="false">
      <c r="A492" s="8"/>
      <c r="B492" s="8"/>
      <c r="C492" s="5" t="s">
        <v>695</v>
      </c>
      <c r="D492" s="24" t="n">
        <v>60</v>
      </c>
      <c r="E492" s="8" t="s">
        <v>796</v>
      </c>
      <c r="F492" s="5" t="s">
        <v>797</v>
      </c>
    </row>
    <row r="493" customFormat="false" ht="15" hidden="false" customHeight="false" outlineLevel="0" collapsed="false">
      <c r="A493" s="8"/>
      <c r="B493" s="8"/>
      <c r="C493" s="5" t="s">
        <v>819</v>
      </c>
      <c r="D493" s="24" t="n">
        <v>490</v>
      </c>
      <c r="E493" s="8" t="s">
        <v>796</v>
      </c>
      <c r="F493" s="5" t="s">
        <v>800</v>
      </c>
    </row>
    <row r="494" customFormat="false" ht="15" hidden="false" customHeight="false" outlineLevel="0" collapsed="false">
      <c r="A494" s="8"/>
      <c r="B494" s="8"/>
      <c r="C494" s="5" t="s">
        <v>820</v>
      </c>
      <c r="D494" s="24" t="n">
        <v>880</v>
      </c>
      <c r="E494" s="8" t="s">
        <v>796</v>
      </c>
      <c r="F494" s="5" t="s">
        <v>802</v>
      </c>
    </row>
    <row r="495" customFormat="false" ht="15" hidden="false" customHeight="false" outlineLevel="0" collapsed="false">
      <c r="A495" s="8"/>
      <c r="B495" s="8"/>
      <c r="C495" s="5" t="s">
        <v>549</v>
      </c>
      <c r="D495" s="24" t="n">
        <v>50</v>
      </c>
      <c r="E495" s="8" t="s">
        <v>796</v>
      </c>
      <c r="F495" s="5"/>
    </row>
    <row r="496" customFormat="false" ht="15" hidden="false" customHeight="false" outlineLevel="0" collapsed="false">
      <c r="A496" s="8"/>
      <c r="B496" s="8"/>
      <c r="C496" s="5" t="s">
        <v>828</v>
      </c>
      <c r="D496" s="24" t="n">
        <v>528</v>
      </c>
      <c r="E496" s="8" t="s">
        <v>796</v>
      </c>
      <c r="F496" s="5" t="s">
        <v>802</v>
      </c>
    </row>
    <row r="497" customFormat="false" ht="15" hidden="false" customHeight="false" outlineLevel="0" collapsed="false">
      <c r="A497" s="3"/>
      <c r="B497" s="3"/>
      <c r="C497" s="15" t="s">
        <v>859</v>
      </c>
      <c r="D497" s="3"/>
      <c r="E497" s="3"/>
      <c r="F497" s="3"/>
    </row>
    <row r="499" customFormat="false" ht="15" hidden="false" customHeight="false" outlineLevel="0" collapsed="false">
      <c r="A499" s="8" t="n">
        <v>9</v>
      </c>
      <c r="B499" s="8" t="s">
        <v>860</v>
      </c>
      <c r="C499" s="5" t="s">
        <v>794</v>
      </c>
      <c r="D499" s="8" t="n">
        <v>3</v>
      </c>
      <c r="E499" s="8" t="s">
        <v>795</v>
      </c>
      <c r="F499" s="5"/>
    </row>
    <row r="500" customFormat="false" ht="15" hidden="false" customHeight="false" outlineLevel="0" collapsed="false">
      <c r="A500" s="8"/>
      <c r="B500" s="8"/>
      <c r="C500" s="5" t="s">
        <v>678</v>
      </c>
      <c r="D500" s="24" t="n">
        <v>100</v>
      </c>
      <c r="E500" s="8" t="s">
        <v>796</v>
      </c>
      <c r="F500" s="5" t="s">
        <v>797</v>
      </c>
    </row>
    <row r="501" customFormat="false" ht="15" hidden="false" customHeight="false" outlineLevel="0" collapsed="false">
      <c r="A501" s="8"/>
      <c r="B501" s="8"/>
      <c r="C501" s="5" t="s">
        <v>681</v>
      </c>
      <c r="D501" s="24" t="n">
        <v>100</v>
      </c>
      <c r="E501" s="8" t="s">
        <v>796</v>
      </c>
      <c r="F501" s="5" t="s">
        <v>797</v>
      </c>
    </row>
    <row r="502" customFormat="false" ht="15" hidden="false" customHeight="false" outlineLevel="0" collapsed="false">
      <c r="A502" s="8"/>
      <c r="B502" s="8"/>
      <c r="C502" s="5" t="s">
        <v>684</v>
      </c>
      <c r="D502" s="24" t="n">
        <v>295</v>
      </c>
      <c r="E502" s="8" t="s">
        <v>796</v>
      </c>
      <c r="F502" s="5" t="s">
        <v>797</v>
      </c>
    </row>
    <row r="503" customFormat="false" ht="15" hidden="false" customHeight="false" outlineLevel="0" collapsed="false">
      <c r="A503" s="8"/>
      <c r="B503" s="8"/>
      <c r="C503" s="5" t="s">
        <v>685</v>
      </c>
      <c r="D503" s="24" t="n">
        <v>240</v>
      </c>
      <c r="E503" s="8" t="s">
        <v>796</v>
      </c>
      <c r="F503" s="5"/>
    </row>
    <row r="504" customFormat="false" ht="15" hidden="false" customHeight="false" outlineLevel="0" collapsed="false">
      <c r="A504" s="8"/>
      <c r="B504" s="8"/>
      <c r="C504" s="5" t="s">
        <v>669</v>
      </c>
      <c r="D504" s="24" t="n">
        <v>40</v>
      </c>
      <c r="E504" s="8" t="s">
        <v>796</v>
      </c>
      <c r="F504" s="5"/>
    </row>
    <row r="505" customFormat="false" ht="15" hidden="false" customHeight="false" outlineLevel="0" collapsed="false">
      <c r="A505" s="8"/>
      <c r="B505" s="8"/>
      <c r="C505" s="5" t="s">
        <v>843</v>
      </c>
      <c r="D505" s="24" t="n">
        <v>230</v>
      </c>
      <c r="E505" s="8" t="s">
        <v>796</v>
      </c>
      <c r="F505" s="5" t="s">
        <v>802</v>
      </c>
    </row>
    <row r="506" customFormat="false" ht="15" hidden="false" customHeight="false" outlineLevel="0" collapsed="false">
      <c r="A506" s="8"/>
      <c r="B506" s="8"/>
      <c r="C506" s="5" t="s">
        <v>561</v>
      </c>
      <c r="D506" s="24" t="n">
        <v>70</v>
      </c>
      <c r="E506" s="8" t="s">
        <v>796</v>
      </c>
      <c r="F506" s="5"/>
    </row>
    <row r="507" customFormat="false" ht="15" hidden="false" customHeight="false" outlineLevel="0" collapsed="false">
      <c r="A507" s="8"/>
      <c r="B507" s="8"/>
      <c r="C507" s="5" t="s">
        <v>641</v>
      </c>
      <c r="D507" s="24" t="n">
        <v>895</v>
      </c>
      <c r="E507" s="8" t="s">
        <v>796</v>
      </c>
      <c r="F507" s="5"/>
    </row>
    <row r="508" customFormat="false" ht="15" hidden="false" customHeight="false" outlineLevel="0" collapsed="false">
      <c r="A508" s="8"/>
      <c r="B508" s="8"/>
      <c r="C508" s="5" t="s">
        <v>799</v>
      </c>
      <c r="D508" s="24" t="n">
        <v>154</v>
      </c>
      <c r="E508" s="8" t="s">
        <v>796</v>
      </c>
      <c r="F508" s="5" t="s">
        <v>800</v>
      </c>
    </row>
    <row r="509" customFormat="false" ht="15" hidden="false" customHeight="false" outlineLevel="0" collapsed="false">
      <c r="A509" s="8"/>
      <c r="B509" s="8"/>
      <c r="C509" s="5" t="s">
        <v>801</v>
      </c>
      <c r="D509" s="24" t="n">
        <v>169</v>
      </c>
      <c r="E509" s="8" t="s">
        <v>796</v>
      </c>
      <c r="F509" s="5" t="s">
        <v>802</v>
      </c>
    </row>
    <row r="510" customFormat="false" ht="15" hidden="false" customHeight="false" outlineLevel="0" collapsed="false">
      <c r="A510" s="8"/>
      <c r="B510" s="8"/>
      <c r="C510" s="5" t="s">
        <v>640</v>
      </c>
      <c r="D510" s="24" t="n">
        <v>100</v>
      </c>
      <c r="E510" s="8" t="s">
        <v>796</v>
      </c>
      <c r="F510" s="5"/>
    </row>
    <row r="511" customFormat="false" ht="15" hidden="false" customHeight="false" outlineLevel="0" collapsed="false">
      <c r="A511" s="8"/>
      <c r="B511" s="8"/>
      <c r="C511" s="5" t="s">
        <v>514</v>
      </c>
      <c r="D511" s="24" t="n">
        <v>10</v>
      </c>
      <c r="E511" s="8" t="s">
        <v>796</v>
      </c>
      <c r="F511" s="5"/>
    </row>
    <row r="512" customFormat="false" ht="15" hidden="false" customHeight="false" outlineLevel="0" collapsed="false">
      <c r="A512" s="8"/>
      <c r="B512" s="8"/>
      <c r="C512" s="5" t="s">
        <v>713</v>
      </c>
      <c r="D512" s="24" t="n">
        <v>40</v>
      </c>
      <c r="E512" s="8" t="s">
        <v>796</v>
      </c>
      <c r="F512" s="5"/>
    </row>
    <row r="513" customFormat="false" ht="15" hidden="false" customHeight="false" outlineLevel="0" collapsed="false">
      <c r="A513" s="8"/>
      <c r="B513" s="8"/>
      <c r="C513" s="5" t="s">
        <v>806</v>
      </c>
      <c r="D513" s="8" t="n">
        <v>2</v>
      </c>
      <c r="E513" s="8" t="s">
        <v>807</v>
      </c>
      <c r="F513" s="5" t="s">
        <v>808</v>
      </c>
    </row>
    <row r="514" customFormat="false" ht="15" hidden="false" customHeight="false" outlineLevel="0" collapsed="false">
      <c r="A514" s="8"/>
      <c r="B514" s="8"/>
      <c r="C514" s="5" t="s">
        <v>574</v>
      </c>
      <c r="D514" s="24" t="n">
        <v>40</v>
      </c>
      <c r="E514" s="8" t="s">
        <v>796</v>
      </c>
      <c r="F514" s="5"/>
    </row>
    <row r="515" customFormat="false" ht="15" hidden="false" customHeight="false" outlineLevel="0" collapsed="false">
      <c r="A515" s="8"/>
      <c r="B515" s="8"/>
      <c r="C515" s="5" t="s">
        <v>592</v>
      </c>
      <c r="D515" s="24" t="n">
        <v>70</v>
      </c>
      <c r="E515" s="8" t="s">
        <v>796</v>
      </c>
      <c r="F515" s="5"/>
    </row>
    <row r="516" customFormat="false" ht="15" hidden="false" customHeight="false" outlineLevel="0" collapsed="false">
      <c r="A516" s="8"/>
      <c r="B516" s="8"/>
      <c r="C516" s="5" t="s">
        <v>603</v>
      </c>
      <c r="D516" s="24" t="n">
        <v>100</v>
      </c>
      <c r="E516" s="8" t="s">
        <v>796</v>
      </c>
      <c r="F516" s="5"/>
    </row>
    <row r="517" customFormat="false" ht="15" hidden="false" customHeight="false" outlineLevel="0" collapsed="false">
      <c r="A517" s="8"/>
      <c r="B517" s="8"/>
      <c r="C517" s="5" t="s">
        <v>541</v>
      </c>
      <c r="D517" s="24" t="n">
        <v>1.5</v>
      </c>
      <c r="E517" s="8" t="s">
        <v>809</v>
      </c>
      <c r="F517" s="5"/>
    </row>
    <row r="518" customFormat="false" ht="15" hidden="false" customHeight="false" outlineLevel="0" collapsed="false">
      <c r="A518" s="8"/>
      <c r="B518" s="8"/>
      <c r="C518" s="5" t="s">
        <v>488</v>
      </c>
      <c r="D518" s="24" t="n">
        <v>190</v>
      </c>
      <c r="E518" s="8" t="s">
        <v>796</v>
      </c>
      <c r="F518" s="5"/>
    </row>
    <row r="519" customFormat="false" ht="15" hidden="false" customHeight="false" outlineLevel="0" collapsed="false">
      <c r="A519" s="8"/>
      <c r="B519" s="8"/>
      <c r="C519" s="5" t="s">
        <v>653</v>
      </c>
      <c r="D519" s="24" t="n">
        <v>110</v>
      </c>
      <c r="E519" s="8" t="s">
        <v>796</v>
      </c>
      <c r="F519" s="5"/>
    </row>
    <row r="520" customFormat="false" ht="15" hidden="false" customHeight="false" outlineLevel="0" collapsed="false">
      <c r="A520" s="8"/>
      <c r="B520" s="8"/>
      <c r="C520" s="5" t="s">
        <v>811</v>
      </c>
      <c r="D520" s="24" t="n">
        <v>519</v>
      </c>
      <c r="E520" s="8" t="s">
        <v>796</v>
      </c>
      <c r="F520" s="5" t="s">
        <v>802</v>
      </c>
    </row>
    <row r="521" customFormat="false" ht="15" hidden="false" customHeight="false" outlineLevel="0" collapsed="false">
      <c r="A521" s="8"/>
      <c r="B521" s="8"/>
      <c r="C521" s="5" t="s">
        <v>490</v>
      </c>
      <c r="D521" s="24" t="n">
        <v>6</v>
      </c>
      <c r="E521" s="8" t="s">
        <v>796</v>
      </c>
      <c r="F521" s="5"/>
    </row>
    <row r="522" customFormat="false" ht="15" hidden="false" customHeight="false" outlineLevel="0" collapsed="false">
      <c r="A522" s="8"/>
      <c r="B522" s="8"/>
      <c r="C522" s="5" t="s">
        <v>542</v>
      </c>
      <c r="D522" s="24" t="n">
        <v>90</v>
      </c>
      <c r="E522" s="8" t="s">
        <v>796</v>
      </c>
      <c r="F522" s="5"/>
    </row>
    <row r="523" customFormat="false" ht="15" hidden="false" customHeight="false" outlineLevel="0" collapsed="false">
      <c r="A523" s="8"/>
      <c r="B523" s="8"/>
      <c r="C523" s="5" t="s">
        <v>491</v>
      </c>
      <c r="D523" s="24" t="n">
        <v>5</v>
      </c>
      <c r="E523" s="8" t="s">
        <v>796</v>
      </c>
      <c r="F523" s="5"/>
    </row>
    <row r="524" customFormat="false" ht="15" hidden="false" customHeight="false" outlineLevel="0" collapsed="false">
      <c r="A524" s="8"/>
      <c r="B524" s="8"/>
      <c r="C524" s="5" t="s">
        <v>634</v>
      </c>
      <c r="D524" s="24" t="n">
        <v>775</v>
      </c>
      <c r="E524" s="8" t="s">
        <v>796</v>
      </c>
      <c r="F524" s="5"/>
    </row>
    <row r="525" customFormat="false" ht="15" hidden="false" customHeight="false" outlineLevel="0" collapsed="false">
      <c r="A525" s="8"/>
      <c r="B525" s="8"/>
      <c r="C525" s="5" t="s">
        <v>554</v>
      </c>
      <c r="D525" s="24" t="n">
        <v>80</v>
      </c>
      <c r="E525" s="8" t="s">
        <v>796</v>
      </c>
      <c r="F525" s="5"/>
    </row>
    <row r="526" customFormat="false" ht="15" hidden="false" customHeight="false" outlineLevel="0" collapsed="false">
      <c r="A526" s="8"/>
      <c r="B526" s="8"/>
      <c r="C526" s="5" t="s">
        <v>639</v>
      </c>
      <c r="D526" s="24" t="n">
        <v>80</v>
      </c>
      <c r="E526" s="8" t="s">
        <v>796</v>
      </c>
      <c r="F526" s="5"/>
    </row>
    <row r="527" customFormat="false" ht="15" hidden="false" customHeight="false" outlineLevel="0" collapsed="false">
      <c r="A527" s="8"/>
      <c r="B527" s="8"/>
      <c r="C527" s="5" t="s">
        <v>823</v>
      </c>
      <c r="D527" s="24" t="n">
        <v>176</v>
      </c>
      <c r="E527" s="8" t="s">
        <v>796</v>
      </c>
      <c r="F527" s="5" t="s">
        <v>800</v>
      </c>
    </row>
    <row r="528" customFormat="false" ht="15" hidden="false" customHeight="false" outlineLevel="0" collapsed="false">
      <c r="A528" s="8"/>
      <c r="B528" s="8"/>
      <c r="C528" s="5" t="s">
        <v>489</v>
      </c>
      <c r="D528" s="24" t="n">
        <v>94</v>
      </c>
      <c r="E528" s="8" t="s">
        <v>796</v>
      </c>
      <c r="F528" s="5"/>
    </row>
    <row r="529" customFormat="false" ht="15" hidden="false" customHeight="false" outlineLevel="0" collapsed="false">
      <c r="A529" s="8"/>
      <c r="B529" s="8"/>
      <c r="C529" s="5" t="s">
        <v>836</v>
      </c>
      <c r="D529" s="24" t="n">
        <v>139</v>
      </c>
      <c r="E529" s="8" t="s">
        <v>796</v>
      </c>
      <c r="F529" s="5" t="s">
        <v>800</v>
      </c>
    </row>
    <row r="530" customFormat="false" ht="15" hidden="false" customHeight="false" outlineLevel="0" collapsed="false">
      <c r="A530" s="8"/>
      <c r="B530" s="8"/>
      <c r="C530" s="5" t="s">
        <v>500</v>
      </c>
      <c r="D530" s="24" t="n">
        <v>20</v>
      </c>
      <c r="E530" s="8" t="s">
        <v>796</v>
      </c>
      <c r="F530" s="5"/>
    </row>
    <row r="531" customFormat="false" ht="15" hidden="false" customHeight="false" outlineLevel="0" collapsed="false">
      <c r="A531" s="8"/>
      <c r="B531" s="8"/>
      <c r="C531" s="5" t="s">
        <v>498</v>
      </c>
      <c r="D531" s="24" t="n">
        <v>120</v>
      </c>
      <c r="E531" s="8" t="s">
        <v>796</v>
      </c>
      <c r="F531" s="5"/>
    </row>
    <row r="532" customFormat="false" ht="15" hidden="false" customHeight="false" outlineLevel="0" collapsed="false">
      <c r="A532" s="8"/>
      <c r="B532" s="8"/>
      <c r="C532" s="5" t="s">
        <v>813</v>
      </c>
      <c r="D532" s="24" t="n">
        <v>139</v>
      </c>
      <c r="E532" s="8" t="s">
        <v>796</v>
      </c>
      <c r="F532" s="5" t="s">
        <v>800</v>
      </c>
    </row>
    <row r="533" customFormat="false" ht="15" hidden="false" customHeight="false" outlineLevel="0" collapsed="false">
      <c r="A533" s="8"/>
      <c r="B533" s="8"/>
      <c r="C533" s="5" t="s">
        <v>607</v>
      </c>
      <c r="D533" s="24" t="n">
        <v>130</v>
      </c>
      <c r="E533" s="8" t="s">
        <v>796</v>
      </c>
      <c r="F533" s="5"/>
    </row>
    <row r="534" customFormat="false" ht="15" hidden="false" customHeight="false" outlineLevel="0" collapsed="false">
      <c r="A534" s="8"/>
      <c r="B534" s="8"/>
      <c r="C534" s="5" t="s">
        <v>814</v>
      </c>
      <c r="D534" s="24" t="n">
        <v>147</v>
      </c>
      <c r="E534" s="8" t="s">
        <v>796</v>
      </c>
      <c r="F534" s="5" t="s">
        <v>800</v>
      </c>
    </row>
    <row r="535" customFormat="false" ht="15" hidden="false" customHeight="false" outlineLevel="0" collapsed="false">
      <c r="A535" s="8"/>
      <c r="B535" s="8"/>
      <c r="C535" s="5" t="s">
        <v>689</v>
      </c>
      <c r="D535" s="24" t="n">
        <v>148</v>
      </c>
      <c r="E535" s="8" t="s">
        <v>796</v>
      </c>
      <c r="F535" s="5"/>
    </row>
    <row r="536" customFormat="false" ht="15" hidden="false" customHeight="false" outlineLevel="0" collapsed="false">
      <c r="A536" s="8"/>
      <c r="B536" s="8"/>
      <c r="C536" s="5" t="s">
        <v>526</v>
      </c>
      <c r="D536" s="24" t="n">
        <v>200</v>
      </c>
      <c r="E536" s="8" t="s">
        <v>796</v>
      </c>
      <c r="F536" s="5"/>
    </row>
    <row r="537" customFormat="false" ht="15" hidden="false" customHeight="false" outlineLevel="0" collapsed="false">
      <c r="A537" s="8"/>
      <c r="B537" s="8"/>
      <c r="C537" s="5" t="s">
        <v>815</v>
      </c>
      <c r="D537" s="24" t="n">
        <v>124</v>
      </c>
      <c r="E537" s="8" t="s">
        <v>796</v>
      </c>
      <c r="F537" s="5" t="s">
        <v>802</v>
      </c>
    </row>
    <row r="538" customFormat="false" ht="15" hidden="false" customHeight="false" outlineLevel="0" collapsed="false">
      <c r="A538" s="8"/>
      <c r="B538" s="8"/>
      <c r="C538" s="5" t="s">
        <v>708</v>
      </c>
      <c r="D538" s="24" t="n">
        <v>1</v>
      </c>
      <c r="E538" s="8" t="s">
        <v>809</v>
      </c>
      <c r="F538" s="5"/>
    </row>
    <row r="539" customFormat="false" ht="15" hidden="false" customHeight="false" outlineLevel="0" collapsed="false">
      <c r="A539" s="8"/>
      <c r="B539" s="8"/>
      <c r="C539" s="5" t="s">
        <v>638</v>
      </c>
      <c r="D539" s="24" t="n">
        <v>215</v>
      </c>
      <c r="E539" s="8" t="s">
        <v>796</v>
      </c>
      <c r="F539" s="5"/>
    </row>
    <row r="540" customFormat="false" ht="15" hidden="false" customHeight="false" outlineLevel="0" collapsed="false">
      <c r="A540" s="8"/>
      <c r="B540" s="8"/>
      <c r="C540" s="5" t="s">
        <v>536</v>
      </c>
      <c r="D540" s="24" t="n">
        <v>120</v>
      </c>
      <c r="E540" s="8" t="s">
        <v>796</v>
      </c>
      <c r="F540" s="5"/>
    </row>
    <row r="541" customFormat="false" ht="15" hidden="false" customHeight="false" outlineLevel="0" collapsed="false">
      <c r="A541" s="8"/>
      <c r="B541" s="8"/>
      <c r="C541" s="5" t="s">
        <v>537</v>
      </c>
      <c r="D541" s="24" t="n">
        <v>280</v>
      </c>
      <c r="E541" s="8" t="s">
        <v>796</v>
      </c>
      <c r="F541" s="5"/>
    </row>
    <row r="542" customFormat="false" ht="15" hidden="false" customHeight="false" outlineLevel="0" collapsed="false">
      <c r="A542" s="8"/>
      <c r="B542" s="8"/>
      <c r="C542" s="5" t="s">
        <v>818</v>
      </c>
      <c r="D542" s="24" t="n">
        <v>65</v>
      </c>
      <c r="E542" s="8" t="s">
        <v>796</v>
      </c>
      <c r="F542" s="5" t="s">
        <v>802</v>
      </c>
    </row>
    <row r="543" customFormat="false" ht="15" hidden="false" customHeight="false" outlineLevel="0" collapsed="false">
      <c r="A543" s="8"/>
      <c r="B543" s="8"/>
      <c r="C543" s="5" t="s">
        <v>573</v>
      </c>
      <c r="D543" s="24" t="n">
        <v>400</v>
      </c>
      <c r="E543" s="8" t="s">
        <v>796</v>
      </c>
      <c r="F543" s="5"/>
    </row>
    <row r="544" customFormat="false" ht="15" hidden="false" customHeight="false" outlineLevel="0" collapsed="false">
      <c r="A544" s="8"/>
      <c r="B544" s="8"/>
      <c r="C544" s="5" t="s">
        <v>651</v>
      </c>
      <c r="D544" s="24" t="n">
        <v>15</v>
      </c>
      <c r="E544" s="8" t="s">
        <v>796</v>
      </c>
      <c r="F544" s="5"/>
    </row>
    <row r="545" customFormat="false" ht="15" hidden="false" customHeight="false" outlineLevel="0" collapsed="false">
      <c r="A545" s="8"/>
      <c r="B545" s="8"/>
      <c r="C545" s="5" t="s">
        <v>695</v>
      </c>
      <c r="D545" s="24" t="n">
        <v>30</v>
      </c>
      <c r="E545" s="8" t="s">
        <v>796</v>
      </c>
      <c r="F545" s="5" t="s">
        <v>797</v>
      </c>
    </row>
    <row r="546" customFormat="false" ht="15" hidden="false" customHeight="false" outlineLevel="0" collapsed="false">
      <c r="A546" s="8"/>
      <c r="B546" s="8"/>
      <c r="C546" s="5" t="s">
        <v>819</v>
      </c>
      <c r="D546" s="24" t="n">
        <v>308</v>
      </c>
      <c r="E546" s="8" t="s">
        <v>796</v>
      </c>
      <c r="F546" s="5" t="s">
        <v>800</v>
      </c>
    </row>
    <row r="547" customFormat="false" ht="15" hidden="false" customHeight="false" outlineLevel="0" collapsed="false">
      <c r="A547" s="8"/>
      <c r="B547" s="8"/>
      <c r="C547" s="5" t="s">
        <v>820</v>
      </c>
      <c r="D547" s="24" t="n">
        <v>770</v>
      </c>
      <c r="E547" s="8" t="s">
        <v>796</v>
      </c>
      <c r="F547" s="5" t="s">
        <v>802</v>
      </c>
    </row>
    <row r="548" customFormat="false" ht="15" hidden="false" customHeight="false" outlineLevel="0" collapsed="false">
      <c r="A548" s="8"/>
      <c r="B548" s="8"/>
      <c r="C548" s="5" t="s">
        <v>840</v>
      </c>
      <c r="D548" s="24" t="n">
        <v>150</v>
      </c>
      <c r="E548" s="8" t="s">
        <v>796</v>
      </c>
      <c r="F548" s="5" t="s">
        <v>802</v>
      </c>
    </row>
    <row r="549" customFormat="false" ht="15" hidden="false" customHeight="false" outlineLevel="0" collapsed="false">
      <c r="A549" s="8"/>
      <c r="B549" s="8"/>
      <c r="C549" s="5" t="s">
        <v>829</v>
      </c>
      <c r="D549" s="24" t="n">
        <v>150</v>
      </c>
      <c r="E549" s="8" t="s">
        <v>796</v>
      </c>
      <c r="F549" s="5"/>
    </row>
    <row r="550" customFormat="false" ht="15" hidden="false" customHeight="false" outlineLevel="0" collapsed="false">
      <c r="A550" s="3"/>
      <c r="B550" s="3"/>
      <c r="C550" s="15" t="s">
        <v>861</v>
      </c>
      <c r="D550" s="3"/>
      <c r="E550" s="3"/>
      <c r="F550"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2026-08-28T12:18:29Z</dcterms:created>
  <dc:creator>openpyxl</dc:creator>
  <dc:description/>
  <dc:language>en-US</dc:language>
  <cp:lastModifiedBy/>
  <dcterms:modified xsi:type="dcterms:W3CDTF">2026-08-28T12:18:30Z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